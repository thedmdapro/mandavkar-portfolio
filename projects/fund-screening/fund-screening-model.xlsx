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niverse Summary" sheetId="2" state="visible" r:id="rId2"/>
    <sheet xmlns:r="http://schemas.openxmlformats.org/officeDocument/2006/relationships" name="Large Cap" sheetId="3" state="visible" r:id="rId3"/>
    <sheet xmlns:r="http://schemas.openxmlformats.org/officeDocument/2006/relationships" name="Flexi Cap" sheetId="4" state="visible" r:id="rId4"/>
    <sheet xmlns:r="http://schemas.openxmlformats.org/officeDocument/2006/relationships" name="Mid Cap" sheetId="5" state="visible" r:id="rId5"/>
    <sheet xmlns:r="http://schemas.openxmlformats.org/officeDocument/2006/relationships" name="Small Cap" sheetId="6" state="visible" r:id="rId6"/>
    <sheet xmlns:r="http://schemas.openxmlformats.org/officeDocument/2006/relationships" name="ELSS" sheetId="7" state="visible" r:id="rId7"/>
    <sheet xmlns:r="http://schemas.openxmlformats.org/officeDocument/2006/relationships" name="Multi Cap" sheetId="8" state="visible" r:id="rId8"/>
    <sheet xmlns:r="http://schemas.openxmlformats.org/officeDocument/2006/relationships" name="Large &amp; Mid Cap" sheetId="9" state="visible" r:id="rId9"/>
    <sheet xmlns:r="http://schemas.openxmlformats.org/officeDocument/2006/relationships" name="Focused Fund" sheetId="10" state="visible" r:id="rId10"/>
    <sheet xmlns:r="http://schemas.openxmlformats.org/officeDocument/2006/relationships" name="Div Yield (Info)" sheetId="11" state="visible" r:id="rId11"/>
    <sheet xmlns:r="http://schemas.openxmlformats.org/officeDocument/2006/relationships" name="Contra (Info)" sheetId="12" state="visible" r:id="rId12"/>
    <sheet xmlns:r="http://schemas.openxmlformats.org/officeDocument/2006/relationships" name="Charts" sheetId="13" state="visible" r:id="rId13"/>
    <sheet xmlns:r="http://schemas.openxmlformats.org/officeDocument/2006/relationships" name="_ChartData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0;-0.00;0.0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1"/>
    </font>
    <font>
      <name val="Arial"/>
      <color rgb="00AAAAAA"/>
      <sz val="9"/>
    </font>
    <font>
      <name val="Arial"/>
      <b val="1"/>
      <color rgb="00FFFFFF"/>
      <sz val="12"/>
    </font>
    <font>
      <name val="Arial"/>
      <b val="1"/>
      <color rgb="001A1A2E"/>
      <sz val="10"/>
    </font>
    <font>
      <name val="Arial"/>
      <color rgb="001A1A2E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i val="1"/>
      <color rgb="00555555"/>
      <sz val="9"/>
    </font>
    <font>
      <name val="Arial"/>
      <b val="1"/>
      <color rgb="00FFFFFF"/>
      <sz val="9"/>
    </font>
    <font>
      <name val="Arial"/>
      <color rgb="001A1A2E"/>
      <sz val="9"/>
    </font>
    <font>
      <name val="Arial"/>
      <i val="1"/>
      <color rgb="00888888"/>
      <sz val="9"/>
    </font>
    <font>
      <name val="Arial"/>
      <i val="1"/>
      <color rgb="001A1A2E"/>
      <sz val="8"/>
    </font>
    <font>
      <name val="Arial"/>
      <color rgb="001a6b3c"/>
      <sz val="9"/>
    </font>
    <font>
      <name val="Arial"/>
      <b val="1"/>
      <color rgb="001a6b3c"/>
      <sz val="9"/>
    </font>
    <font>
      <name val="Arial"/>
      <color rgb="008b0000"/>
      <sz val="9"/>
    </font>
    <font>
      <name val="Arial"/>
      <b val="1"/>
      <color rgb="008b0000"/>
      <sz val="9"/>
    </font>
    <font>
      <name val="Arial"/>
      <i val="1"/>
      <color rgb="00B8860B"/>
      <sz val="9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5F8FB"/>
      </patternFill>
    </fill>
    <fill>
      <patternFill patternType="solid">
        <fgColor rgb="001a6b3c"/>
      </patternFill>
    </fill>
    <fill>
      <patternFill patternType="solid">
        <fgColor rgb="002e7d32"/>
      </patternFill>
    </fill>
    <fill>
      <patternFill patternType="solid">
        <fgColor rgb="00FFFFFF"/>
      </patternFill>
    </fill>
    <fill>
      <patternFill patternType="solid">
        <fgColor rgb="00b8860b"/>
      </patternFill>
    </fill>
    <fill>
      <patternFill patternType="solid">
        <fgColor rgb="00c0392b"/>
      </patternFill>
    </fill>
    <fill>
      <patternFill patternType="solid">
        <fgColor rgb="007b0000"/>
      </patternFill>
    </fill>
    <fill>
      <patternFill patternType="solid">
        <fgColor rgb="00005F73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/>
    </xf>
    <xf numFmtId="3" fontId="12" fillId="4" borderId="1" applyAlignment="1" pivotButton="0" quotePrefix="0" xfId="0">
      <alignment horizontal="right" vertical="center"/>
    </xf>
    <xf numFmtId="164" fontId="12" fillId="4" borderId="1" applyAlignment="1" pivotButton="0" quotePrefix="0" xfId="0">
      <alignment horizontal="right" vertical="center"/>
    </xf>
    <xf numFmtId="165" fontId="15" fillId="4" borderId="1" applyAlignment="1" pivotButton="0" quotePrefix="0" xfId="0">
      <alignment horizontal="right" vertical="center"/>
    </xf>
    <xf numFmtId="165" fontId="16" fillId="4" borderId="1" applyAlignment="1" pivotButton="0" quotePrefix="0" xfId="0">
      <alignment horizontal="right" vertical="center"/>
    </xf>
    <xf numFmtId="2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center" vertical="center"/>
    </xf>
    <xf numFmtId="3" fontId="12" fillId="7" borderId="1" applyAlignment="1" pivotButton="0" quotePrefix="0" xfId="0">
      <alignment horizontal="right" vertical="center"/>
    </xf>
    <xf numFmtId="164" fontId="12" fillId="7" borderId="1" applyAlignment="1" pivotButton="0" quotePrefix="0" xfId="0">
      <alignment horizontal="right" vertical="center"/>
    </xf>
    <xf numFmtId="165" fontId="17" fillId="7" borderId="1" applyAlignment="1" pivotButton="0" quotePrefix="0" xfId="0">
      <alignment horizontal="right" vertical="center"/>
    </xf>
    <xf numFmtId="165" fontId="16" fillId="7" borderId="1" applyAlignment="1" pivotButton="0" quotePrefix="0" xfId="0">
      <alignment horizontal="right" vertical="center"/>
    </xf>
    <xf numFmtId="165" fontId="15" fillId="7" borderId="1" applyAlignment="1" pivotButton="0" quotePrefix="0" xfId="0">
      <alignment horizontal="right" vertical="center"/>
    </xf>
    <xf numFmtId="2" fontId="12" fillId="7" borderId="1" applyAlignment="1" pivotButton="0" quotePrefix="0" xfId="0">
      <alignment horizontal="right" vertical="center"/>
    </xf>
    <xf numFmtId="165" fontId="12" fillId="7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165" fontId="18" fillId="7" borderId="1" applyAlignment="1" pivotButton="0" quotePrefix="0" xfId="0">
      <alignment horizontal="right" vertical="center"/>
    </xf>
    <xf numFmtId="165" fontId="17" fillId="4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center" vertical="center"/>
    </xf>
    <xf numFmtId="165" fontId="18" fillId="4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/>
    </xf>
    <xf numFmtId="0" fontId="19" fillId="1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Rating Distribution by Category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'_ChartData'!B1</f>
            </strRef>
          </tx>
          <spPr>
            <a:solidFill xmlns:a="http://schemas.openxmlformats.org/drawingml/2006/main">
              <a:srgbClr val="1a6b3c"/>
            </a:solidFill>
            <a:ln xmlns:a="http://schemas.openxmlformats.org/drawingml/2006/main">
              <a:prstDash val="solid"/>
            </a:ln>
          </spPr>
          <cat>
            <numRef>
              <f>'_ChartData'!$A$2:$A$9</f>
            </numRef>
          </cat>
          <val>
            <numRef>
              <f>'_ChartData'!$B$2:$B$9</f>
            </numRef>
          </val>
        </ser>
        <ser>
          <idx val="1"/>
          <order val="1"/>
          <tx>
            <strRef>
              <f>'_ChartData'!C1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'_ChartData'!$A$2:$A$9</f>
            </numRef>
          </cat>
          <val>
            <numRef>
              <f>'_ChartData'!$C$2:$C$9</f>
            </numRef>
          </val>
        </ser>
        <ser>
          <idx val="2"/>
          <order val="2"/>
          <tx>
            <strRef>
              <f>'_ChartData'!D1</f>
            </strRef>
          </tx>
          <spPr>
            <a:solidFill xmlns:a="http://schemas.openxmlformats.org/drawingml/2006/main">
              <a:srgbClr val="b8860b"/>
            </a:solidFill>
            <a:ln xmlns:a="http://schemas.openxmlformats.org/drawingml/2006/main">
              <a:prstDash val="solid"/>
            </a:ln>
          </spPr>
          <cat>
            <numRef>
              <f>'_ChartData'!$A$2:$A$9</f>
            </numRef>
          </cat>
          <val>
            <numRef>
              <f>'_ChartData'!$D$2:$D$9</f>
            </numRef>
          </val>
        </ser>
        <ser>
          <idx val="3"/>
          <order val="3"/>
          <tx>
            <strRef>
              <f>'_ChartData'!E1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'_ChartData'!$A$2:$A$9</f>
            </numRef>
          </cat>
          <val>
            <numRef>
              <f>'_ChartData'!$E$2:$E$9</f>
            </numRef>
          </val>
        </ser>
        <ser>
          <idx val="4"/>
          <order val="4"/>
          <tx>
            <strRef>
              <f>'_ChartData'!F1</f>
            </strRef>
          </tx>
          <spPr>
            <a:solidFill xmlns:a="http://schemas.openxmlformats.org/drawingml/2006/main">
              <a:srgbClr val="7b0000"/>
            </a:solidFill>
            <a:ln xmlns:a="http://schemas.openxmlformats.org/drawingml/2006/main">
              <a:prstDash val="solid"/>
            </a:ln>
          </spPr>
          <cat>
            <numRef>
              <f>'_ChartData'!$A$2:$A$9</f>
            </numRef>
          </cat>
          <val>
            <numRef>
              <f>'_ChartData'!$F$2:$F$9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Funds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Composite Score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'_ChartData'!B11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'_ChartData'!$A$12:$A$19</f>
            </numRef>
          </cat>
          <val>
            <numRef>
              <f>'_ChartData'!$B$12:$B$19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3Y Alpha (%)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'_ChartData'!B21</f>
            </strRef>
          </tx>
          <spPr>
            <a:solidFill xmlns:a="http://schemas.openxmlformats.org/drawingml/2006/main">
              <a:srgbClr val="005F73"/>
            </a:solidFill>
            <a:ln xmlns:a="http://schemas.openxmlformats.org/drawingml/2006/main">
              <a:prstDash val="solid"/>
            </a:ln>
          </spPr>
          <cat>
            <numRef>
              <f>'_ChartData'!$A$22:$A$29</f>
            </numRef>
          </cat>
          <val>
            <numRef>
              <f>'_ChartData'!$B$22:$B$29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Alpha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Expense Ratio (%)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'_ChartData'!B31</f>
            </strRef>
          </tx>
          <spPr>
            <a:solidFill xmlns:a="http://schemas.openxmlformats.org/drawingml/2006/main">
              <a:srgbClr val="B8860B"/>
            </a:solidFill>
            <a:ln xmlns:a="http://schemas.openxmlformats.org/drawingml/2006/main">
              <a:prstDash val="solid"/>
            </a:ln>
          </spPr>
          <cat>
            <numRef>
              <f>'_ChartData'!$A$32:$A$39</f>
            </numRef>
          </cat>
          <val>
            <numRef>
              <f>'_ChartData'!$B$32:$B$39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2</row>
      <rowOff>0</rowOff>
    </from>
    <ext cx="792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32</row>
      <rowOff>0</rowOff>
    </from>
    <ext cx="792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4"/>
  <sheetViews>
    <sheetView showGridLines="0" showRowColHeaders="0" workbookViewId="0">
      <selection activeCell="A1" sqref="A1"/>
    </sheetView>
  </sheetViews>
  <sheetFormatPr baseColWidth="8" defaultRowHeight="15"/>
  <cols>
    <col width="24" customWidth="1" min="2" max="2"/>
    <col width="13" customWidth="1" min="3" max="3"/>
    <col width="10" customWidth="1" min="4" max="4"/>
    <col width="45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 ht="36" customHeight="1">
      <c r="B2" s="1" t="inlineStr">
        <is>
          <t>EQUITY FUND SCREENING MODEL</t>
        </is>
      </c>
    </row>
    <row r="3" ht="22" customHeight="1">
      <c r="B3" s="2" t="inlineStr">
        <is>
          <t>Systematic 3-Layer Screening | 8 SEBI Equity Categories | Regular Growth Plans</t>
        </is>
      </c>
    </row>
    <row r="4" ht="16" customHeight="1">
      <c r="B4" s="3" t="inlineStr">
        <is>
          <t>Data as of: March 2026  |  Built: 31 Mar 2026  |  v2.0</t>
        </is>
      </c>
    </row>
    <row r="6" ht="24" customHeight="1">
      <c r="B6" s="4" t="inlineStr">
        <is>
          <t>MODEL OVERVIEW</t>
        </is>
      </c>
    </row>
    <row r="7" ht="18" customHeight="1">
      <c r="B7" s="5" t="inlineStr">
        <is>
          <t>Starting Universe</t>
        </is>
      </c>
      <c r="E7" s="6" t="inlineStr">
        <is>
          <t>260</t>
        </is>
      </c>
    </row>
    <row r="8" ht="18" customHeight="1">
      <c r="B8" s="5" t="inlineStr">
        <is>
          <t>After Gate Filters</t>
        </is>
      </c>
      <c r="E8" s="6" t="inlineStr">
        <is>
          <t>177</t>
        </is>
      </c>
    </row>
    <row r="9" ht="18" customHeight="1">
      <c r="B9" s="5" t="inlineStr">
        <is>
          <t>Categories Scored</t>
        </is>
      </c>
      <c r="E9" s="6" t="inlineStr">
        <is>
          <t>8 SEBI Categories</t>
        </is>
      </c>
    </row>
    <row r="10" ht="18" customHeight="1">
      <c r="B10" s="5" t="inlineStr">
        <is>
          <t>Scoring Factors</t>
        </is>
      </c>
      <c r="E10" s="6" t="inlineStr">
        <is>
          <t>Alpha · Sharpe · Consistency · Sortino · Cost</t>
        </is>
      </c>
    </row>
    <row r="11" ht="18" customHeight="1">
      <c r="B11" s="5" t="inlineStr">
        <is>
          <t>Rating Bands</t>
        </is>
      </c>
      <c r="E11" s="6" t="inlineStr">
        <is>
          <t>Strong Buy / Buy / Hold / Underweight / Avoid</t>
        </is>
      </c>
    </row>
    <row r="12" ht="18" customHeight="1">
      <c r="B12" s="5" t="inlineStr">
        <is>
          <t>Data Source</t>
        </is>
      </c>
      <c r="E12" s="6" t="inlineStr">
        <is>
          <t>ACE Mutual Fund — Regular Growth Plans</t>
        </is>
      </c>
    </row>
    <row r="14" ht="22" customHeight="1">
      <c r="B14" s="7" t="inlineStr">
        <is>
          <t>RATING BAND LEGEND</t>
        </is>
      </c>
    </row>
    <row r="15" ht="18" customHeight="1">
      <c r="B15" s="8" t="inlineStr">
        <is>
          <t>Strong Buy</t>
        </is>
      </c>
      <c r="D15" s="9" t="inlineStr">
        <is>
          <t>≥ 75</t>
        </is>
      </c>
      <c r="E15" s="6" t="inlineStr">
        <is>
          <t>Top quartile across all factors. Strong alpha, superior risk-adjusted returns.</t>
        </is>
      </c>
    </row>
    <row r="16" ht="18" customHeight="1">
      <c r="B16" s="10" t="inlineStr">
        <is>
          <t>Buy</t>
        </is>
      </c>
      <c r="D16" s="11" t="inlineStr">
        <is>
          <t>60–74</t>
        </is>
      </c>
      <c r="E16" s="12" t="inlineStr">
        <is>
          <t>Above-average performance. Consistent outperformance vs benchmark.</t>
        </is>
      </c>
    </row>
    <row r="17" ht="18" customHeight="1">
      <c r="B17" s="13" t="inlineStr">
        <is>
          <t>Hold</t>
        </is>
      </c>
      <c r="D17" s="9" t="inlineStr">
        <is>
          <t>45–59</t>
        </is>
      </c>
      <c r="E17" s="6" t="inlineStr">
        <is>
          <t>Mid-range. Watch for improvement or deterioration.</t>
        </is>
      </c>
    </row>
    <row r="18" ht="18" customHeight="1">
      <c r="B18" s="14" t="inlineStr">
        <is>
          <t>Underweight</t>
        </is>
      </c>
      <c r="D18" s="11" t="inlineStr">
        <is>
          <t>30–44</t>
        </is>
      </c>
      <c r="E18" s="12" t="inlineStr">
        <is>
          <t>Below-average. Underperforming on multiple factors.</t>
        </is>
      </c>
    </row>
    <row r="19" ht="18" customHeight="1">
      <c r="B19" s="15" t="inlineStr">
        <is>
          <t>Avoid</t>
        </is>
      </c>
      <c r="D19" s="9" t="inlineStr">
        <is>
          <t>&lt; 30</t>
        </is>
      </c>
      <c r="E19" s="6" t="inlineStr">
        <is>
          <t>Bottom quartile. Poor alpha, high cost, or weak risk management.</t>
        </is>
      </c>
    </row>
    <row r="21" ht="22" customHeight="1">
      <c r="B21" s="7" t="inlineStr">
        <is>
          <t>SCREENING METHODOLOGY — 3 LAYERS</t>
        </is>
      </c>
    </row>
    <row r="22" ht="18" customHeight="1">
      <c r="B22" s="16" t="inlineStr">
        <is>
          <t>Layer 1 — Pass/Fail Gates</t>
        </is>
      </c>
      <c r="E22" s="6" t="inlineStr">
        <is>
          <t>AUM ≥ ₹500 Cr (₹300 Cr for ELSS)  |  Fund age ≥ 3 years  |  3Y alpha &gt; −5%</t>
        </is>
      </c>
    </row>
    <row r="23" ht="18" customHeight="1">
      <c r="B23" s="16" t="inlineStr">
        <is>
          <t>Layer 2 — 5-Factor Quantitative Scoring</t>
        </is>
      </c>
      <c r="E23" s="12" t="inlineStr">
        <is>
          <t>Alpha (25%) · Sharpe (25%) · Consistency (25%) · Sortino (20%) · Cost (5%)</t>
        </is>
      </c>
    </row>
    <row r="24" ht="18" customHeight="1">
      <c r="B24" s="16" t="inlineStr">
        <is>
          <t>Layer 3 — Qualitative Analyst Overlay</t>
        </is>
      </c>
      <c r="E24" s="6" t="inlineStr">
        <is>
          <t>Fund manager tenure, mandate adherence, AMC stability. Applied before final rating.</t>
        </is>
      </c>
    </row>
  </sheetData>
  <mergeCells count="34">
    <mergeCell ref="B11:D11"/>
    <mergeCell ref="B16:C16"/>
    <mergeCell ref="E12:I12"/>
    <mergeCell ref="B23:D23"/>
    <mergeCell ref="B8:D8"/>
    <mergeCell ref="E24:I24"/>
    <mergeCell ref="B3:I3"/>
    <mergeCell ref="E23:I23"/>
    <mergeCell ref="B18:C18"/>
    <mergeCell ref="E8:I8"/>
    <mergeCell ref="E17:I17"/>
    <mergeCell ref="B10:D10"/>
    <mergeCell ref="B21:I21"/>
    <mergeCell ref="B2:I2"/>
    <mergeCell ref="E10:I10"/>
    <mergeCell ref="B9:D9"/>
    <mergeCell ref="E19:I19"/>
    <mergeCell ref="B14:I14"/>
    <mergeCell ref="B17:C17"/>
    <mergeCell ref="B24:D24"/>
    <mergeCell ref="E9:I9"/>
    <mergeCell ref="E15:I15"/>
    <mergeCell ref="E22:I22"/>
    <mergeCell ref="B19:C19"/>
    <mergeCell ref="E11:I11"/>
    <mergeCell ref="B7:D7"/>
    <mergeCell ref="E7:I7"/>
    <mergeCell ref="B15:C15"/>
    <mergeCell ref="B6:I6"/>
    <mergeCell ref="E16:I16"/>
    <mergeCell ref="B22:D22"/>
    <mergeCell ref="B12:D12"/>
    <mergeCell ref="B4:I4"/>
    <mergeCell ref="E18:I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  <col width="12" customWidth="1" min="8" max="8"/>
    <col width="8" customWidth="1" min="9" max="9"/>
    <col width="12" customWidth="1" min="10" max="10"/>
    <col width="12" customWidth="1" min="11" max="11"/>
    <col width="10" customWidth="1" min="12" max="12"/>
    <col width="10" customWidth="1" min="13" max="13"/>
    <col width="30" customWidth="1" min="14" max="14"/>
  </cols>
  <sheetData>
    <row r="1" ht="30" customHeight="1">
      <c r="A1" s="17" t="inlineStr">
        <is>
          <t>UNIVERSE SUMMARY — All Equity Categories</t>
        </is>
      </c>
    </row>
    <row r="2" ht="16" customHeight="1">
      <c r="A2" s="18" t="inlineStr">
        <is>
          <t>Data: March 2026  |  Regular Growth Plans  |  Primary benchmark only  |  Deduplication: first row per scheme</t>
        </is>
      </c>
    </row>
    <row r="4" ht="28" customHeight="1">
      <c r="A4" s="19" t="inlineStr">
        <is>
          <t>Category</t>
        </is>
      </c>
      <c r="B4" s="19" t="inlineStr">
        <is>
          <t>SEBI Mandate (Summary)</t>
        </is>
      </c>
      <c r="C4" s="19" t="inlineStr">
        <is>
          <t>Universe</t>
        </is>
      </c>
      <c r="D4" s="19" t="inlineStr">
        <is>
          <t>Post-Gates</t>
        </is>
      </c>
      <c r="E4" s="19" t="inlineStr">
        <is>
          <t>Strong Buy</t>
        </is>
      </c>
      <c r="F4" s="19" t="inlineStr">
        <is>
          <t>Buy</t>
        </is>
      </c>
      <c r="G4" s="19" t="inlineStr">
        <is>
          <t>Hold</t>
        </is>
      </c>
      <c r="H4" s="19" t="inlineStr">
        <is>
          <t>Underweight</t>
        </is>
      </c>
      <c r="I4" s="19" t="inlineStr">
        <is>
          <t>Avoid</t>
        </is>
      </c>
      <c r="J4" s="19" t="inlineStr">
        <is>
          <t>Avg Composite</t>
        </is>
      </c>
      <c r="K4" s="19" t="inlineStr">
        <is>
          <t>Avg 3Y Alpha</t>
        </is>
      </c>
      <c r="L4" s="19" t="inlineStr">
        <is>
          <t>Avg Sharpe</t>
        </is>
      </c>
      <c r="M4" s="19" t="inlineStr">
        <is>
          <t>Avg ER (%)</t>
        </is>
      </c>
      <c r="N4" s="19" t="inlineStr">
        <is>
          <t>Notes</t>
        </is>
      </c>
    </row>
    <row r="5" ht="18" customHeight="1">
      <c r="A5" s="20" t="inlineStr">
        <is>
          <t>Large Cap</t>
        </is>
      </c>
      <c r="B5" s="21" t="inlineStr">
        <is>
          <t>Min 80% in top-100 companies by market cap.</t>
        </is>
      </c>
      <c r="C5" s="22" t="n">
        <v>30</v>
      </c>
      <c r="D5" s="22" t="n">
        <v>17</v>
      </c>
      <c r="E5" s="22" t="n">
        <v>4</v>
      </c>
      <c r="F5" s="22" t="n">
        <v>2</v>
      </c>
      <c r="G5" s="22" t="n">
        <v>5</v>
      </c>
      <c r="H5" s="22" t="n">
        <v>2</v>
      </c>
      <c r="I5" s="22" t="n">
        <v>4</v>
      </c>
      <c r="J5" s="22" t="n">
        <v>52.9</v>
      </c>
      <c r="K5" s="22" t="n">
        <v>0.6899999999999999</v>
      </c>
      <c r="L5" s="22" t="n">
        <v>0.25</v>
      </c>
      <c r="M5" s="22" t="n">
        <v>1.93</v>
      </c>
      <c r="N5" s="23" t="inlineStr"/>
    </row>
    <row r="6" ht="18" customHeight="1">
      <c r="A6" s="24" t="inlineStr">
        <is>
          <t>Flexi Cap</t>
        </is>
      </c>
      <c r="B6" s="25" t="inlineStr">
        <is>
          <t>Min 65% equity; no market-cap restriction.</t>
        </is>
      </c>
      <c r="C6" s="26" t="n">
        <v>38</v>
      </c>
      <c r="D6" s="26" t="n">
        <v>27</v>
      </c>
      <c r="E6" s="26" t="n">
        <v>6</v>
      </c>
      <c r="F6" s="26" t="n">
        <v>3</v>
      </c>
      <c r="G6" s="26" t="n">
        <v>8</v>
      </c>
      <c r="H6" s="26" t="n">
        <v>3</v>
      </c>
      <c r="I6" s="26" t="n">
        <v>7</v>
      </c>
      <c r="J6" s="26" t="n">
        <v>51.9</v>
      </c>
      <c r="K6" s="26" t="n">
        <v>3.13</v>
      </c>
      <c r="L6" s="26" t="n">
        <v>0.28</v>
      </c>
      <c r="M6" s="26" t="n">
        <v>1.81</v>
      </c>
      <c r="N6" s="27" t="inlineStr"/>
    </row>
    <row r="7" ht="18" customHeight="1">
      <c r="A7" s="20" t="inlineStr">
        <is>
          <t>Mid Cap</t>
        </is>
      </c>
      <c r="B7" s="21" t="inlineStr">
        <is>
          <t>Min 65% in companies ranked 101–250 by market cap.</t>
        </is>
      </c>
      <c r="C7" s="22" t="n">
        <v>30</v>
      </c>
      <c r="D7" s="22" t="n">
        <v>26</v>
      </c>
      <c r="E7" s="22" t="n">
        <v>7</v>
      </c>
      <c r="F7" s="22" t="n">
        <v>3</v>
      </c>
      <c r="G7" s="22" t="n">
        <v>5</v>
      </c>
      <c r="H7" s="22" t="n">
        <v>5</v>
      </c>
      <c r="I7" s="22" t="n">
        <v>6</v>
      </c>
      <c r="J7" s="22" t="n">
        <v>51.9</v>
      </c>
      <c r="K7" s="22" t="n">
        <v>7.21</v>
      </c>
      <c r="L7" s="22" t="n">
        <v>0.32</v>
      </c>
      <c r="M7" s="22" t="n">
        <v>1.77</v>
      </c>
      <c r="N7" s="23" t="inlineStr"/>
    </row>
    <row r="8" ht="18" customHeight="1">
      <c r="A8" s="24" t="inlineStr">
        <is>
          <t>Small Cap</t>
        </is>
      </c>
      <c r="B8" s="25" t="inlineStr">
        <is>
          <t>Min 65% in companies ranked 251+ by market cap.</t>
        </is>
      </c>
      <c r="C8" s="26" t="n">
        <v>30</v>
      </c>
      <c r="D8" s="26" t="n">
        <v>23</v>
      </c>
      <c r="E8" s="26" t="n">
        <v>5</v>
      </c>
      <c r="F8" s="26" t="n">
        <v>4</v>
      </c>
      <c r="G8" s="26" t="n">
        <v>5</v>
      </c>
      <c r="H8" s="26" t="n">
        <v>5</v>
      </c>
      <c r="I8" s="26" t="n">
        <v>4</v>
      </c>
      <c r="J8" s="26" t="n">
        <v>52.2</v>
      </c>
      <c r="K8" s="26" t="n">
        <v>4.77</v>
      </c>
      <c r="L8" s="26" t="n">
        <v>0.25</v>
      </c>
      <c r="M8" s="26" t="n">
        <v>1.79</v>
      </c>
      <c r="N8" s="27" t="inlineStr"/>
    </row>
    <row r="9" ht="18" customHeight="1">
      <c r="A9" s="20" t="inlineStr">
        <is>
          <t>ELSS</t>
        </is>
      </c>
      <c r="B9" s="21" t="inlineStr">
        <is>
          <t>Min 80% equity. Mandatory 3-year lock-in. Tax benefit u/s 80C.</t>
        </is>
      </c>
      <c r="C9" s="22" t="n">
        <v>33</v>
      </c>
      <c r="D9" s="22" t="n">
        <v>24</v>
      </c>
      <c r="E9" s="22" t="n">
        <v>5</v>
      </c>
      <c r="F9" s="22" t="n">
        <v>5</v>
      </c>
      <c r="G9" s="22" t="n">
        <v>4</v>
      </c>
      <c r="H9" s="22" t="n">
        <v>5</v>
      </c>
      <c r="I9" s="22" t="n">
        <v>5</v>
      </c>
      <c r="J9" s="22" t="n">
        <v>52.1</v>
      </c>
      <c r="K9" s="22" t="n">
        <v>2.39</v>
      </c>
      <c r="L9" s="22" t="n">
        <v>0.27</v>
      </c>
      <c r="M9" s="22" t="n">
        <v>1.94</v>
      </c>
      <c r="N9" s="23" t="inlineStr">
        <is>
          <t>3-year lock-in. Consistency weight 30% (vs 25% default).</t>
        </is>
      </c>
    </row>
    <row r="10" ht="18" customHeight="1">
      <c r="A10" s="24" t="inlineStr">
        <is>
          <t>Multi Cap</t>
        </is>
      </c>
      <c r="B10" s="25" t="inlineStr">
        <is>
          <t>Min 25% each in large, mid, and small cap.</t>
        </is>
      </c>
      <c r="C10" s="26" t="n">
        <v>30</v>
      </c>
      <c r="D10" s="26" t="n">
        <v>19</v>
      </c>
      <c r="E10" s="26" t="n">
        <v>5</v>
      </c>
      <c r="F10" s="26" t="n">
        <v>1</v>
      </c>
      <c r="G10" s="26" t="n">
        <v>5</v>
      </c>
      <c r="H10" s="26" t="n">
        <v>5</v>
      </c>
      <c r="I10" s="26" t="n">
        <v>3</v>
      </c>
      <c r="J10" s="26" t="n">
        <v>52.6</v>
      </c>
      <c r="K10" s="26" t="n">
        <v>3.67</v>
      </c>
      <c r="L10" s="26" t="n">
        <v>0.29</v>
      </c>
      <c r="M10" s="26" t="n">
        <v>1.85</v>
      </c>
      <c r="N10" s="27" t="inlineStr"/>
    </row>
    <row r="11" ht="18" customHeight="1">
      <c r="A11" s="20" t="inlineStr">
        <is>
          <t>Large &amp; Mid Cap</t>
        </is>
      </c>
      <c r="B11" s="21" t="inlineStr">
        <is>
          <t>Min 35% large cap + min 35% mid cap.</t>
        </is>
      </c>
      <c r="C11" s="22" t="n">
        <v>29</v>
      </c>
      <c r="D11" s="22" t="n">
        <v>22</v>
      </c>
      <c r="E11" s="22" t="n">
        <v>6</v>
      </c>
      <c r="F11" s="22" t="n">
        <v>2</v>
      </c>
      <c r="G11" s="22" t="n">
        <v>4</v>
      </c>
      <c r="H11" s="22" t="n">
        <v>6</v>
      </c>
      <c r="I11" s="22" t="n">
        <v>4</v>
      </c>
      <c r="J11" s="22" t="n">
        <v>52.3</v>
      </c>
      <c r="K11" s="22" t="n">
        <v>3.81</v>
      </c>
      <c r="L11" s="22" t="n">
        <v>0.3</v>
      </c>
      <c r="M11" s="22" t="n">
        <v>1.8</v>
      </c>
      <c r="N11" s="23" t="inlineStr"/>
    </row>
    <row r="12" ht="18" customHeight="1">
      <c r="A12" s="24" t="inlineStr">
        <is>
          <t>Focused Fund</t>
        </is>
      </c>
      <c r="B12" s="25" t="inlineStr">
        <is>
          <t>Max 30 stocks. Min 65% equity. High-conviction, concentrated portfolio.</t>
        </is>
      </c>
      <c r="C12" s="26" t="n">
        <v>28</v>
      </c>
      <c r="D12" s="26" t="n">
        <v>19</v>
      </c>
      <c r="E12" s="26" t="n">
        <v>3</v>
      </c>
      <c r="F12" s="26" t="n">
        <v>5</v>
      </c>
      <c r="G12" s="26" t="n">
        <v>4</v>
      </c>
      <c r="H12" s="26" t="n">
        <v>4</v>
      </c>
      <c r="I12" s="26" t="n">
        <v>3</v>
      </c>
      <c r="J12" s="26" t="n">
        <v>52.6</v>
      </c>
      <c r="K12" s="26" t="n">
        <v>1.85</v>
      </c>
      <c r="L12" s="26" t="n">
        <v>0.28</v>
      </c>
      <c r="M12" s="26" t="n">
        <v>1.95</v>
      </c>
      <c r="N12" s="27" t="inlineStr">
        <is>
          <t>Max 30 stocks. Concentration risk implicit in std dev.</t>
        </is>
      </c>
    </row>
    <row r="13" ht="18" customHeight="1">
      <c r="A13" s="28" t="inlineStr">
        <is>
          <t>Div Yield (Info)</t>
        </is>
      </c>
      <c r="B13" s="29" t="inlineStr">
        <is>
          <t>Min 65% in dividend-paying stocks.</t>
        </is>
      </c>
      <c r="C13" s="30" t="n">
        <v>10</v>
      </c>
      <c r="D13" s="30" t="inlineStr">
        <is>
          <t>N/A (info only)</t>
        </is>
      </c>
      <c r="E13" s="30" t="inlineStr">
        <is>
          <t>—</t>
        </is>
      </c>
      <c r="F13" s="30" t="inlineStr">
        <is>
          <t>—</t>
        </is>
      </c>
      <c r="G13" s="30" t="inlineStr">
        <is>
          <t>—</t>
        </is>
      </c>
      <c r="H13" s="30" t="inlineStr">
        <is>
          <t>—</t>
        </is>
      </c>
      <c r="I13" s="30" t="inlineStr">
        <is>
          <t>—</t>
        </is>
      </c>
      <c r="J13" s="30" t="inlineStr">
        <is>
          <t>—</t>
        </is>
      </c>
      <c r="K13" s="30" t="inlineStr">
        <is>
          <t>—</t>
        </is>
      </c>
      <c r="L13" s="30" t="inlineStr">
        <is>
          <t>—</t>
        </is>
      </c>
      <c r="M13" s="30" t="inlineStr">
        <is>
          <t>—</t>
        </is>
      </c>
      <c r="N13" s="31" t="inlineStr">
        <is>
          <t>Universe too small for percentile ranking.</t>
        </is>
      </c>
    </row>
    <row r="14" ht="18" customHeight="1">
      <c r="A14" s="32" t="inlineStr">
        <is>
          <t>Contra (Info)</t>
        </is>
      </c>
      <c r="B14" s="33" t="inlineStr">
        <is>
          <t>Contrarian investment strategy. Min 65% equity.</t>
        </is>
      </c>
      <c r="C14" s="34" t="n">
        <v>2</v>
      </c>
      <c r="D14" s="34" t="inlineStr">
        <is>
          <t>N/A (info only)</t>
        </is>
      </c>
      <c r="E14" s="34" t="inlineStr">
        <is>
          <t>—</t>
        </is>
      </c>
      <c r="F14" s="34" t="inlineStr">
        <is>
          <t>—</t>
        </is>
      </c>
      <c r="G14" s="34" t="inlineStr">
        <is>
          <t>—</t>
        </is>
      </c>
      <c r="H14" s="34" t="inlineStr">
        <is>
          <t>—</t>
        </is>
      </c>
      <c r="I14" s="34" t="inlineStr">
        <is>
          <t>—</t>
        </is>
      </c>
      <c r="J14" s="34" t="inlineStr">
        <is>
          <t>—</t>
        </is>
      </c>
      <c r="K14" s="34" t="inlineStr">
        <is>
          <t>—</t>
        </is>
      </c>
      <c r="L14" s="34" t="inlineStr">
        <is>
          <t>—</t>
        </is>
      </c>
      <c r="M14" s="34" t="inlineStr">
        <is>
          <t>—</t>
        </is>
      </c>
      <c r="N14" s="35" t="inlineStr">
        <is>
          <t>Universe too small for percentile ranking.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Large Cap — Ranked Screener</t>
        </is>
      </c>
    </row>
    <row r="2" ht="15" customHeight="1">
      <c r="A2" s="18" t="inlineStr">
        <is>
          <t>SEBI mandate: Min 80% in top-100 companies by market cap.   |   Data: March 2026   |   Universe: 30   |   Post-gates: 17</t>
        </is>
      </c>
    </row>
    <row r="3" ht="14" customHeight="1">
      <c r="A3" s="36" t="inlineStr">
        <is>
          <t>Gates: AUM ≥ ₹500 Cr  |  Track record ≥ 3Y  |  3Y Alpha &gt; −5%   |   Weights: Alpha 25%  Sharpe 25%  Consistency 25%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ICICI Pru Large Cap Fund(G)</t>
        </is>
      </c>
      <c r="C6" s="24" t="inlineStr">
        <is>
          <t>ICICI Prudential Asset Management Company Limited</t>
        </is>
      </c>
      <c r="D6" s="37" t="n">
        <v>77451.5855484318</v>
      </c>
      <c r="E6" s="38" t="n">
        <v>17.865753</v>
      </c>
      <c r="F6" s="24" t="inlineStr">
        <is>
          <t>NIFTY 50 - TRI</t>
        </is>
      </c>
      <c r="G6" s="39" t="n">
        <v>1.0211</v>
      </c>
      <c r="H6" s="40" t="n">
        <v>3.879099999999999</v>
      </c>
      <c r="I6" s="40" t="n">
        <v>3.268800000000001</v>
      </c>
      <c r="J6" s="41" t="n">
        <v>0.320207523091881</v>
      </c>
      <c r="K6" s="41" t="n">
        <v>0.583989249695223</v>
      </c>
      <c r="L6" s="41" t="n">
        <v>3.2912</v>
      </c>
      <c r="M6" s="38" t="n">
        <v>101.6562</v>
      </c>
      <c r="N6" s="38" t="n">
        <v>82.4722</v>
      </c>
      <c r="O6" s="41" t="n">
        <v>1.4</v>
      </c>
      <c r="P6" s="42" t="n">
        <v>0.5499999999999999</v>
      </c>
      <c r="Q6" s="38" t="n">
        <v>94.2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DSP Large Cap Fund-Reg(G)</t>
        </is>
      </c>
      <c r="C7" s="20" t="inlineStr">
        <is>
          <t>DSP Investment Managers Private Limited</t>
        </is>
      </c>
      <c r="D7" s="44" t="n">
        <v>7269.639</v>
      </c>
      <c r="E7" s="45" t="n">
        <v>23.073972</v>
      </c>
      <c r="F7" s="20" t="inlineStr">
        <is>
          <t>NIFTY 50 - TRI</t>
        </is>
      </c>
      <c r="G7" s="46" t="n">
        <v>-1.5489</v>
      </c>
      <c r="H7" s="47" t="n">
        <v>3.930299999999999</v>
      </c>
      <c r="I7" s="48" t="n">
        <v>0.9207999999999998</v>
      </c>
      <c r="J7" s="49" t="n">
        <v>0.319207474427137</v>
      </c>
      <c r="K7" s="49" t="n">
        <v>0.608611654514198</v>
      </c>
      <c r="L7" s="49" t="n">
        <v>3.2163</v>
      </c>
      <c r="M7" s="45" t="n">
        <v>103.1873</v>
      </c>
      <c r="N7" s="45" t="n">
        <v>76.23999999999999</v>
      </c>
      <c r="O7" s="49" t="n">
        <v>1.82</v>
      </c>
      <c r="P7" s="50" t="n">
        <v>0.9700000000000001</v>
      </c>
      <c r="Q7" s="45" t="n">
        <v>89.3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WOC Large Cap Fund-Reg(G)</t>
        </is>
      </c>
      <c r="C8" s="24" t="inlineStr">
        <is>
          <t>WhiteOak Capital Asset Management Limited</t>
        </is>
      </c>
      <c r="D8" s="37" t="n">
        <v>1148.9846</v>
      </c>
      <c r="E8" s="38" t="n">
        <v>3.331506</v>
      </c>
      <c r="F8" s="24" t="inlineStr">
        <is>
          <t>NIFTY 50 - TRI</t>
        </is>
      </c>
      <c r="G8" s="39" t="n">
        <v>1.0086</v>
      </c>
      <c r="H8" s="40" t="n">
        <v>3.7037</v>
      </c>
      <c r="I8" s="42" t="inlineStr">
        <is>
          <t>—</t>
        </is>
      </c>
      <c r="J8" s="41" t="n">
        <v>0.292675695461201</v>
      </c>
      <c r="K8" s="41" t="n">
        <v>0.531153295861012</v>
      </c>
      <c r="L8" s="41" t="n">
        <v>3.5516</v>
      </c>
      <c r="M8" s="38" t="n">
        <v>112.1183</v>
      </c>
      <c r="N8" s="38" t="n">
        <v>95.37090000000001</v>
      </c>
      <c r="O8" s="41" t="n">
        <v>2.16</v>
      </c>
      <c r="P8" s="42" t="n">
        <v>1.49</v>
      </c>
      <c r="Q8" s="38" t="n">
        <v>78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Bandhan Large Cap Fund-Reg(G)</t>
        </is>
      </c>
      <c r="C9" s="20" t="inlineStr">
        <is>
          <t>Bandhan AMC Limited</t>
        </is>
      </c>
      <c r="D9" s="44" t="n">
        <v>2023.9277</v>
      </c>
      <c r="E9" s="45" t="n">
        <v>19.821917</v>
      </c>
      <c r="F9" s="20" t="inlineStr">
        <is>
          <t>NIFTY 50 - TRI</t>
        </is>
      </c>
      <c r="G9" s="48" t="n">
        <v>1.6261</v>
      </c>
      <c r="H9" s="47" t="n">
        <v>3.2867</v>
      </c>
      <c r="I9" s="48" t="n">
        <v>0.8972999999999995</v>
      </c>
      <c r="J9" s="49" t="n">
        <v>0.275077474131069</v>
      </c>
      <c r="K9" s="49" t="n">
        <v>0.50901757659073</v>
      </c>
      <c r="L9" s="49" t="n">
        <v>3.769</v>
      </c>
      <c r="M9" s="45" t="n">
        <v>116.4354</v>
      </c>
      <c r="N9" s="45" t="n">
        <v>105.3552</v>
      </c>
      <c r="O9" s="49" t="n">
        <v>2.02</v>
      </c>
      <c r="P9" s="50" t="n">
        <v>1.16</v>
      </c>
      <c r="Q9" s="45" t="n">
        <v>77.2</v>
      </c>
      <c r="R9" s="43" t="inlineStr">
        <is>
          <t>Strong Buy</t>
        </is>
      </c>
    </row>
    <row r="10" ht="16" customHeight="1">
      <c r="A10" s="26" t="n">
        <v>5</v>
      </c>
      <c r="B10" s="24" t="inlineStr">
        <is>
          <t>Invesco India Largecap Fund-Reg(G)</t>
        </is>
      </c>
      <c r="C10" s="24" t="inlineStr">
        <is>
          <t>Invesco Asset Management Company Pvt Ltd.</t>
        </is>
      </c>
      <c r="D10" s="37" t="n">
        <v>1701.6816</v>
      </c>
      <c r="E10" s="38" t="n">
        <v>16.619178</v>
      </c>
      <c r="F10" s="24" t="inlineStr">
        <is>
          <t>NIFTY 50 - TRI</t>
        </is>
      </c>
      <c r="G10" s="39" t="n">
        <v>0.8633999999999999</v>
      </c>
      <c r="H10" s="40" t="n">
        <v>3.241099999999999</v>
      </c>
      <c r="I10" s="39" t="n">
        <v>1.6431</v>
      </c>
      <c r="J10" s="41" t="n">
        <v>0.265133462380928</v>
      </c>
      <c r="K10" s="41" t="n">
        <v>0.487366917926869</v>
      </c>
      <c r="L10" s="41" t="n">
        <v>3.9262</v>
      </c>
      <c r="M10" s="38" t="n">
        <v>112.8302</v>
      </c>
      <c r="N10" s="38" t="n">
        <v>110.9885</v>
      </c>
      <c r="O10" s="41" t="n">
        <v>2.02</v>
      </c>
      <c r="P10" s="42" t="n">
        <v>1.31</v>
      </c>
      <c r="Q10" s="38" t="n">
        <v>71.40000000000001</v>
      </c>
      <c r="R10" s="51" t="inlineStr">
        <is>
          <t>Buy</t>
        </is>
      </c>
    </row>
    <row r="11" ht="16" customHeight="1">
      <c r="A11" s="22" t="n">
        <v>6</v>
      </c>
      <c r="B11" s="20" t="inlineStr">
        <is>
          <t>Baroda BNP Paribas Large Cap Fund-Reg(G)</t>
        </is>
      </c>
      <c r="C11" s="20" t="inlineStr">
        <is>
          <t>Baroda BNP Paribas Asset Management India Pvt. Ltd.</t>
        </is>
      </c>
      <c r="D11" s="44" t="n">
        <v>2638.64</v>
      </c>
      <c r="E11" s="45" t="n">
        <v>21.531506</v>
      </c>
      <c r="F11" s="20" t="inlineStr">
        <is>
          <t>NIFTY 50 - TRI</t>
        </is>
      </c>
      <c r="G11" s="46" t="n">
        <v>-0.006699999999999928</v>
      </c>
      <c r="H11" s="48" t="n">
        <v>2.0871</v>
      </c>
      <c r="I11" s="48" t="n">
        <v>1.066800000000001</v>
      </c>
      <c r="J11" s="49" t="n">
        <v>0.271460294542304</v>
      </c>
      <c r="K11" s="49" t="n">
        <v>0.482506287532721</v>
      </c>
      <c r="L11" s="49" t="n">
        <v>3.463</v>
      </c>
      <c r="M11" s="45" t="n">
        <v>101.7435</v>
      </c>
      <c r="N11" s="45" t="n">
        <v>95.7706</v>
      </c>
      <c r="O11" s="49" t="n">
        <v>1.98</v>
      </c>
      <c r="P11" s="50" t="n">
        <v>1.16</v>
      </c>
      <c r="Q11" s="45" t="n">
        <v>69.40000000000001</v>
      </c>
      <c r="R11" s="51" t="inlineStr">
        <is>
          <t>Buy</t>
        </is>
      </c>
    </row>
    <row r="12" ht="16" customHeight="1">
      <c r="A12" s="26" t="n">
        <v>7</v>
      </c>
      <c r="B12" s="24" t="inlineStr">
        <is>
          <t>Franklin India Large Cap Fund(G)</t>
        </is>
      </c>
      <c r="C12" s="24" t="inlineStr">
        <is>
          <t>Franklin Templeton Asset Management (India) Private Limited</t>
        </is>
      </c>
      <c r="D12" s="37" t="n">
        <v>7580.185772128</v>
      </c>
      <c r="E12" s="38" t="n">
        <v>32.350684</v>
      </c>
      <c r="F12" s="24" t="inlineStr">
        <is>
          <t>NIFTY 100</t>
        </is>
      </c>
      <c r="G12" s="39" t="n">
        <v>2.0636</v>
      </c>
      <c r="H12" s="39" t="n">
        <v>1.2013</v>
      </c>
      <c r="I12" s="39" t="n">
        <v>0.2599</v>
      </c>
      <c r="J12" s="41" t="n">
        <v>0.25653356015161</v>
      </c>
      <c r="K12" s="41" t="n">
        <v>0.476108895535615</v>
      </c>
      <c r="L12" s="41" t="n">
        <v>3.3507</v>
      </c>
      <c r="M12" s="38" t="n">
        <v>96.2437</v>
      </c>
      <c r="N12" s="38" t="n">
        <v>93.89060000000001</v>
      </c>
      <c r="O12" s="41" t="n">
        <v>1.86</v>
      </c>
      <c r="P12" s="42" t="n">
        <v>0.7200000000000002</v>
      </c>
      <c r="Q12" s="38" t="n">
        <v>57.5</v>
      </c>
      <c r="R12" s="52" t="inlineStr">
        <is>
          <t>Hold</t>
        </is>
      </c>
    </row>
    <row r="13" ht="16" customHeight="1">
      <c r="A13" s="22" t="n">
        <v>8</v>
      </c>
      <c r="B13" s="20" t="inlineStr">
        <is>
          <t>Nippon India Large Cap Fund(G)</t>
        </is>
      </c>
      <c r="C13" s="20" t="inlineStr">
        <is>
          <t>Nippon Life India Asset Management Limited</t>
        </is>
      </c>
      <c r="D13" s="44" t="n">
        <v>51403.7963</v>
      </c>
      <c r="E13" s="45" t="n">
        <v>18.657534</v>
      </c>
      <c r="F13" s="20" t="inlineStr">
        <is>
          <t>BSE SENSEX - TRI</t>
        </is>
      </c>
      <c r="G13" s="53" t="n">
        <v>-6.729699999999999</v>
      </c>
      <c r="H13" s="46" t="n">
        <v>-1.574399999999999</v>
      </c>
      <c r="I13" s="53" t="n">
        <v>-4.5337</v>
      </c>
      <c r="J13" s="49" t="n">
        <v>0.31966467369846</v>
      </c>
      <c r="K13" s="49" t="n">
        <v>0.590224432409915</v>
      </c>
      <c r="L13" s="49" t="n">
        <v>3.5458</v>
      </c>
      <c r="M13" s="45" t="n">
        <v>112.2027</v>
      </c>
      <c r="N13" s="45" t="n">
        <v>86.6653</v>
      </c>
      <c r="O13" s="49" t="n">
        <v>1.47</v>
      </c>
      <c r="P13" s="50" t="n">
        <v>0.82</v>
      </c>
      <c r="Q13" s="45" t="n">
        <v>57</v>
      </c>
      <c r="R13" s="52" t="inlineStr">
        <is>
          <t>Hold</t>
        </is>
      </c>
    </row>
    <row r="14" ht="16" customHeight="1">
      <c r="A14" s="26" t="n">
        <v>9</v>
      </c>
      <c r="B14" s="24" t="inlineStr">
        <is>
          <t>HSBC Large Cap Fund(G)</t>
        </is>
      </c>
      <c r="C14" s="24" t="inlineStr">
        <is>
          <t>HSBC Global Asset Management (India) Private Limited</t>
        </is>
      </c>
      <c r="D14" s="37" t="n">
        <v>1893.7961</v>
      </c>
      <c r="E14" s="38" t="n">
        <v>23.320547</v>
      </c>
      <c r="F14" s="24" t="inlineStr">
        <is>
          <t>NIFTY 50 - TRI</t>
        </is>
      </c>
      <c r="G14" s="39" t="n">
        <v>2.0046</v>
      </c>
      <c r="H14" s="39" t="n">
        <v>1.610299999999999</v>
      </c>
      <c r="I14" s="54" t="n">
        <v>-0.2762999999999991</v>
      </c>
      <c r="J14" s="41" t="n">
        <v>0.256232598771346</v>
      </c>
      <c r="K14" s="41" t="n">
        <v>0.433355733485845</v>
      </c>
      <c r="L14" s="41" t="n">
        <v>3.5486</v>
      </c>
      <c r="M14" s="38" t="n">
        <v>101.5301</v>
      </c>
      <c r="N14" s="38" t="n">
        <v>99.0236</v>
      </c>
      <c r="O14" s="41" t="n">
        <v>2.13</v>
      </c>
      <c r="P14" s="42" t="n">
        <v>0.8699999999999999</v>
      </c>
      <c r="Q14" s="38" t="n">
        <v>52.2</v>
      </c>
      <c r="R14" s="52" t="inlineStr">
        <is>
          <t>Hold</t>
        </is>
      </c>
    </row>
    <row r="15" ht="16" customHeight="1">
      <c r="A15" s="22" t="n">
        <v>10</v>
      </c>
      <c r="B15" s="20" t="inlineStr">
        <is>
          <t>Quant Large Cap Fund-Reg(G)</t>
        </is>
      </c>
      <c r="C15" s="20" t="inlineStr">
        <is>
          <t>Quant Money Managers Limited</t>
        </is>
      </c>
      <c r="D15" s="44" t="n">
        <v>3023.0967</v>
      </c>
      <c r="E15" s="45" t="n">
        <v>3.641095</v>
      </c>
      <c r="F15" s="20" t="inlineStr">
        <is>
          <t>NIFTY 50 - TRI</t>
        </is>
      </c>
      <c r="G15" s="46" t="n">
        <v>-1.2826</v>
      </c>
      <c r="H15" s="48" t="n">
        <v>1.898899999999999</v>
      </c>
      <c r="I15" s="50" t="inlineStr">
        <is>
          <t>—</t>
        </is>
      </c>
      <c r="J15" s="49" t="n">
        <v>0.237471642795347</v>
      </c>
      <c r="K15" s="49" t="n">
        <v>0.454141734454708</v>
      </c>
      <c r="L15" s="49" t="n">
        <v>4.1612</v>
      </c>
      <c r="M15" s="45" t="n">
        <v>111.8935</v>
      </c>
      <c r="N15" s="45" t="n">
        <v>115.6698</v>
      </c>
      <c r="O15" s="49" t="n">
        <v>1.92</v>
      </c>
      <c r="P15" s="50" t="n">
        <v>1.42</v>
      </c>
      <c r="Q15" s="45" t="n">
        <v>51.5</v>
      </c>
      <c r="R15" s="52" t="inlineStr">
        <is>
          <t>Hold</t>
        </is>
      </c>
    </row>
    <row r="16" ht="16" customHeight="1">
      <c r="A16" s="26" t="n">
        <v>11</v>
      </c>
      <c r="B16" s="24" t="inlineStr">
        <is>
          <t>Tata Large Cap Fund-Reg(G)</t>
        </is>
      </c>
      <c r="C16" s="24" t="inlineStr">
        <is>
          <t>Tata Asset Management Private Limited</t>
        </is>
      </c>
      <c r="D16" s="37" t="n">
        <v>2783.6029351591</v>
      </c>
      <c r="E16" s="38" t="n">
        <v>27.917808</v>
      </c>
      <c r="F16" s="24" t="inlineStr">
        <is>
          <t>NIFTY 50 - TRI</t>
        </is>
      </c>
      <c r="G16" s="54" t="n">
        <v>-0.4204999999999997</v>
      </c>
      <c r="H16" s="39" t="n">
        <v>1.2135</v>
      </c>
      <c r="I16" s="39" t="n">
        <v>0.6363000000000003</v>
      </c>
      <c r="J16" s="41" t="n">
        <v>0.246496470388116</v>
      </c>
      <c r="K16" s="41" t="n">
        <v>0.442634526294354</v>
      </c>
      <c r="L16" s="41" t="n">
        <v>3.5273</v>
      </c>
      <c r="M16" s="38" t="n">
        <v>99.3977</v>
      </c>
      <c r="N16" s="38" t="n">
        <v>98.542</v>
      </c>
      <c r="O16" s="41" t="n">
        <v>1.99</v>
      </c>
      <c r="P16" s="42" t="n">
        <v>1.02</v>
      </c>
      <c r="Q16" s="38" t="n">
        <v>49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Sundaram Large Cap Fund-Reg(G)</t>
        </is>
      </c>
      <c r="C17" s="20" t="inlineStr">
        <is>
          <t>Sundaram Asset Management Company Limited</t>
        </is>
      </c>
      <c r="D17" s="44" t="n">
        <v>3244.860891</v>
      </c>
      <c r="E17" s="45" t="n">
        <v>5.479452</v>
      </c>
      <c r="F17" s="20" t="inlineStr">
        <is>
          <t>NIFTY 50 - TRI</t>
        </is>
      </c>
      <c r="G17" s="46" t="n">
        <v>-1.4636</v>
      </c>
      <c r="H17" s="46" t="n">
        <v>-0.9809000000000001</v>
      </c>
      <c r="I17" s="46" t="n">
        <v>-0.827</v>
      </c>
      <c r="J17" s="49" t="n">
        <v>0.20739947294993</v>
      </c>
      <c r="K17" s="49" t="n">
        <v>0.368515947777227</v>
      </c>
      <c r="L17" s="49" t="n">
        <v>3.2255</v>
      </c>
      <c r="M17" s="45" t="n">
        <v>87.3079</v>
      </c>
      <c r="N17" s="45" t="n">
        <v>92.6438</v>
      </c>
      <c r="O17" s="49" t="n">
        <v>1.92</v>
      </c>
      <c r="P17" s="50" t="n">
        <v>1.26</v>
      </c>
      <c r="Q17" s="45" t="n">
        <v>35.9</v>
      </c>
      <c r="R17" s="55" t="inlineStr">
        <is>
          <t>Underweight</t>
        </is>
      </c>
    </row>
    <row r="18" ht="16" customHeight="1">
      <c r="A18" s="26" t="n">
        <v>13</v>
      </c>
      <c r="B18" s="24" t="inlineStr">
        <is>
          <t>HDFC Large Cap Fund(G)</t>
        </is>
      </c>
      <c r="C18" s="24" t="inlineStr">
        <is>
          <t>HDFC Asset Management Company Limited</t>
        </is>
      </c>
      <c r="D18" s="37" t="n">
        <v>40085.1928</v>
      </c>
      <c r="E18" s="38" t="n">
        <v>29.487671</v>
      </c>
      <c r="F18" s="24" t="inlineStr">
        <is>
          <t>BSE SENSEX - TRI</t>
        </is>
      </c>
      <c r="G18" s="56" t="n">
        <v>-9.7957</v>
      </c>
      <c r="H18" s="56" t="n">
        <v>-4.900499999999999</v>
      </c>
      <c r="I18" s="56" t="n">
        <v>-7.411299999999999</v>
      </c>
      <c r="J18" s="41" t="n">
        <v>0.258685712586955</v>
      </c>
      <c r="K18" s="41" t="n">
        <v>0.457164547651571</v>
      </c>
      <c r="L18" s="41" t="n">
        <v>3.3638</v>
      </c>
      <c r="M18" s="38" t="n">
        <v>95.21429999999999</v>
      </c>
      <c r="N18" s="38" t="n">
        <v>88.6092</v>
      </c>
      <c r="O18" s="41" t="n">
        <v>1.59</v>
      </c>
      <c r="P18" s="42" t="n">
        <v>0.5800000000000001</v>
      </c>
      <c r="Q18" s="38" t="n">
        <v>32.4</v>
      </c>
      <c r="R18" s="55" t="inlineStr">
        <is>
          <t>Underweight</t>
        </is>
      </c>
    </row>
    <row r="19" ht="16" customHeight="1">
      <c r="A19" s="22" t="n">
        <v>14</v>
      </c>
      <c r="B19" s="20" t="inlineStr">
        <is>
          <t>Axis Large Cap Fund-Reg(G)</t>
        </is>
      </c>
      <c r="C19" s="20" t="inlineStr">
        <is>
          <t>Axis Asset Management Company Ltd.</t>
        </is>
      </c>
      <c r="D19" s="44" t="n">
        <v>32436.7727</v>
      </c>
      <c r="E19" s="45" t="n">
        <v>16.243835</v>
      </c>
      <c r="F19" s="20" t="inlineStr">
        <is>
          <t>NIFTY 50 - TRI</t>
        </is>
      </c>
      <c r="G19" s="46" t="n">
        <v>-2.0267</v>
      </c>
      <c r="H19" s="46" t="n">
        <v>-1.0427</v>
      </c>
      <c r="I19" s="53" t="n">
        <v>-3.1816</v>
      </c>
      <c r="J19" s="49" t="n">
        <v>0.20034170153417</v>
      </c>
      <c r="K19" s="49" t="n">
        <v>0.344024053730411</v>
      </c>
      <c r="L19" s="49" t="n">
        <v>3.2982</v>
      </c>
      <c r="M19" s="45" t="n">
        <v>94.3717</v>
      </c>
      <c r="N19" s="45" t="n">
        <v>98.3189</v>
      </c>
      <c r="O19" s="49" t="n">
        <v>1.58</v>
      </c>
      <c r="P19" s="50" t="n">
        <v>0.8600000000000001</v>
      </c>
      <c r="Q19" s="45" t="n">
        <v>28.2</v>
      </c>
      <c r="R19" s="57" t="inlineStr">
        <is>
          <t>Avoid</t>
        </is>
      </c>
    </row>
    <row r="20" ht="16" customHeight="1">
      <c r="A20" s="26" t="n">
        <v>15</v>
      </c>
      <c r="B20" s="24" t="inlineStr">
        <is>
          <t>ITI Large Cap Fund-Reg(G)</t>
        </is>
      </c>
      <c r="C20" s="24" t="inlineStr">
        <is>
          <t>ITI Asset Management Limited</t>
        </is>
      </c>
      <c r="D20" s="37" t="n">
        <v>507.0857</v>
      </c>
      <c r="E20" s="38" t="n">
        <v>5.268493</v>
      </c>
      <c r="F20" s="24" t="inlineStr">
        <is>
          <t>NIFTY 50 - TRI</t>
        </is>
      </c>
      <c r="G20" s="56" t="n">
        <v>-4.202500000000001</v>
      </c>
      <c r="H20" s="54" t="n">
        <v>-0.6944999999999997</v>
      </c>
      <c r="I20" s="54" t="n">
        <v>-2.6609</v>
      </c>
      <c r="J20" s="41" t="n">
        <v>0.197400675354825</v>
      </c>
      <c r="K20" s="41" t="n">
        <v>0.351266078302507</v>
      </c>
      <c r="L20" s="41" t="n">
        <v>3.7906</v>
      </c>
      <c r="M20" s="38" t="n">
        <v>99.7758</v>
      </c>
      <c r="N20" s="38" t="n">
        <v>113.6668</v>
      </c>
      <c r="O20" s="41" t="n">
        <v>2.35</v>
      </c>
      <c r="P20" s="42" t="n">
        <v>1.83</v>
      </c>
      <c r="Q20" s="38" t="n">
        <v>27.7</v>
      </c>
      <c r="R20" s="57" t="inlineStr">
        <is>
          <t>Avoid</t>
        </is>
      </c>
    </row>
    <row r="21" ht="16" customHeight="1">
      <c r="A21" s="22" t="n">
        <v>16</v>
      </c>
      <c r="B21" s="20" t="inlineStr">
        <is>
          <t>LIC MF Large Cap Fund-Reg(G)</t>
        </is>
      </c>
      <c r="C21" s="20" t="inlineStr">
        <is>
          <t>LIC Mutual Fund Asset Management Limited</t>
        </is>
      </c>
      <c r="D21" s="44" t="n">
        <v>1421.5329</v>
      </c>
      <c r="E21" s="45" t="n">
        <v>28.019178</v>
      </c>
      <c r="F21" s="20" t="inlineStr">
        <is>
          <t>NIFTY 50 - TRI</t>
        </is>
      </c>
      <c r="G21" s="46" t="n">
        <v>-2.8582</v>
      </c>
      <c r="H21" s="46" t="n">
        <v>-2.2575</v>
      </c>
      <c r="I21" s="46" t="n">
        <v>-2.5031</v>
      </c>
      <c r="J21" s="49" t="n">
        <v>0.170713203075482</v>
      </c>
      <c r="K21" s="49" t="n">
        <v>0.296041577060932</v>
      </c>
      <c r="L21" s="49" t="n">
        <v>3.6287</v>
      </c>
      <c r="M21" s="45" t="n">
        <v>92.77419999999999</v>
      </c>
      <c r="N21" s="45" t="n">
        <v>111.676</v>
      </c>
      <c r="O21" s="49" t="n">
        <v>2.16</v>
      </c>
      <c r="P21" s="50" t="n">
        <v>1.06</v>
      </c>
      <c r="Q21" s="45" t="n">
        <v>17.5</v>
      </c>
      <c r="R21" s="57" t="inlineStr">
        <is>
          <t>Avoid</t>
        </is>
      </c>
    </row>
    <row r="22" ht="16" customHeight="1">
      <c r="A22" s="26" t="n">
        <v>17</v>
      </c>
      <c r="B22" s="24" t="inlineStr">
        <is>
          <t>PGIM India Large Cap Fund(G)</t>
        </is>
      </c>
      <c r="C22" s="24" t="inlineStr">
        <is>
          <t>PGIM India Asset Management Private Limited</t>
        </is>
      </c>
      <c r="D22" s="37" t="n">
        <v>567.7387</v>
      </c>
      <c r="E22" s="38" t="n">
        <v>23.180821</v>
      </c>
      <c r="F22" s="24" t="inlineStr">
        <is>
          <t>NIFTY 50 - TRI</t>
        </is>
      </c>
      <c r="G22" s="54" t="n">
        <v>-2.1717</v>
      </c>
      <c r="H22" s="54" t="n">
        <v>-2.795400000000001</v>
      </c>
      <c r="I22" s="54" t="n">
        <v>-2.7705</v>
      </c>
      <c r="J22" s="41" t="n">
        <v>0.161955131964809</v>
      </c>
      <c r="K22" s="41" t="n">
        <v>0.278164097914778</v>
      </c>
      <c r="L22" s="41" t="n">
        <v>3.41</v>
      </c>
      <c r="M22" s="38" t="n">
        <v>86.2242</v>
      </c>
      <c r="N22" s="38" t="n">
        <v>103.7294</v>
      </c>
      <c r="O22" s="41" t="n">
        <v>2.38</v>
      </c>
      <c r="P22" s="42" t="n">
        <v>1.55</v>
      </c>
      <c r="Q22" s="38" t="n">
        <v>11.5</v>
      </c>
      <c r="R22" s="57" t="inlineStr">
        <is>
          <t>Avoid</t>
        </is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Flexi Cap — Ranked Screener</t>
        </is>
      </c>
    </row>
    <row r="2" ht="15" customHeight="1">
      <c r="A2" s="18" t="inlineStr">
        <is>
          <t>SEBI mandate: Min 65% equity; no market-cap restriction.   |   Data: March 2026   |   Universe: 38   |   Post-gates: 27</t>
        </is>
      </c>
    </row>
    <row r="3" ht="14" customHeight="1">
      <c r="A3" s="36" t="inlineStr">
        <is>
          <t>Gates: AUM ≥ ₹500 Cr  |  Track record ≥ 3Y  |  3Y Alpha &gt; −5%   |   Weights: Alpha 25%  Sharpe 25%  Consistency 25%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HDFC Flexi Cap Fund(G)</t>
        </is>
      </c>
      <c r="C6" s="24" t="inlineStr">
        <is>
          <t>HDFC Asset Management Company Limited</t>
        </is>
      </c>
      <c r="D6" s="37" t="n">
        <v>100455.3195</v>
      </c>
      <c r="E6" s="38" t="n">
        <v>31.265753</v>
      </c>
      <c r="F6" s="24" t="inlineStr">
        <is>
          <t>NIFTY 50 - TRI</t>
        </is>
      </c>
      <c r="G6" s="39" t="n">
        <v>2.4226</v>
      </c>
      <c r="H6" s="40" t="n">
        <v>7.366400000000001</v>
      </c>
      <c r="I6" s="40" t="n">
        <v>8.096800000000002</v>
      </c>
      <c r="J6" s="41" t="n">
        <v>0.396415567920648</v>
      </c>
      <c r="K6" s="41" t="n">
        <v>0.74872458304775</v>
      </c>
      <c r="L6" s="41" t="n">
        <v>3.3068</v>
      </c>
      <c r="M6" s="38" t="n">
        <v>96.89700000000001</v>
      </c>
      <c r="N6" s="38" t="n">
        <v>62.6351</v>
      </c>
      <c r="O6" s="41" t="n">
        <v>1.34</v>
      </c>
      <c r="P6" s="42" t="n">
        <v>0.6400000000000001</v>
      </c>
      <c r="Q6" s="38" t="n">
        <v>92.90000000000001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Parag Parikh Flexi Cap Fund-Reg(G)</t>
        </is>
      </c>
      <c r="C7" s="20" t="inlineStr">
        <is>
          <t>PPFAS Asset Management Pvt. Ltd.</t>
        </is>
      </c>
      <c r="D7" s="44" t="n">
        <v>134253.1711</v>
      </c>
      <c r="E7" s="45" t="n">
        <v>12.860273</v>
      </c>
      <c r="F7" s="20" t="inlineStr">
        <is>
          <t>NIFTY 50 - TRI</t>
        </is>
      </c>
      <c r="G7" s="48" t="n">
        <v>2.6603</v>
      </c>
      <c r="H7" s="47" t="n">
        <v>6.177200000000001</v>
      </c>
      <c r="I7" s="47" t="n">
        <v>5.574199999999999</v>
      </c>
      <c r="J7" s="49" t="n">
        <v>0.463822848396845</v>
      </c>
      <c r="K7" s="49" t="n">
        <v>1.00396449201495</v>
      </c>
      <c r="L7" s="49" t="n">
        <v>2.5481</v>
      </c>
      <c r="M7" s="45" t="n">
        <v>80.4597</v>
      </c>
      <c r="N7" s="45" t="n">
        <v>36.6071</v>
      </c>
      <c r="O7" s="49" t="n">
        <v>1.28</v>
      </c>
      <c r="P7" s="50" t="n">
        <v>0.65</v>
      </c>
      <c r="Q7" s="45" t="n">
        <v>91.2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Bank of India Flexi Cap Fund-Reg(G)</t>
        </is>
      </c>
      <c r="C8" s="24" t="inlineStr">
        <is>
          <t>Bank of India Investment Managers Private Limited</t>
        </is>
      </c>
      <c r="D8" s="37" t="n">
        <v>2186.4888</v>
      </c>
      <c r="E8" s="38" t="n">
        <v>5.756164</v>
      </c>
      <c r="F8" s="24" t="inlineStr">
        <is>
          <t>NIFTY 50 - TRI</t>
        </is>
      </c>
      <c r="G8" s="40" t="n">
        <v>4.1254</v>
      </c>
      <c r="H8" s="40" t="n">
        <v>8.748099999999999</v>
      </c>
      <c r="I8" s="40" t="n">
        <v>6.672799999999999</v>
      </c>
      <c r="J8" s="41" t="n">
        <v>0.305184535385136</v>
      </c>
      <c r="K8" s="41" t="n">
        <v>0.562258353454319</v>
      </c>
      <c r="L8" s="41" t="n">
        <v>4.7308</v>
      </c>
      <c r="M8" s="38" t="n">
        <v>138.11</v>
      </c>
      <c r="N8" s="38" t="n">
        <v>110.441</v>
      </c>
      <c r="O8" s="41" t="n">
        <v>1.92</v>
      </c>
      <c r="P8" s="42" t="n">
        <v>1.4</v>
      </c>
      <c r="Q8" s="38" t="n">
        <v>87.3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ITI Flexi Cap Fund-Reg(G)</t>
        </is>
      </c>
      <c r="C9" s="20" t="inlineStr">
        <is>
          <t>ITI Asset Management Limited</t>
        </is>
      </c>
      <c r="D9" s="44" t="n">
        <v>1266.9197</v>
      </c>
      <c r="E9" s="45" t="n">
        <v>3.117808</v>
      </c>
      <c r="F9" s="20" t="inlineStr">
        <is>
          <t>NIFTY 50 - TRI</t>
        </is>
      </c>
      <c r="G9" s="47" t="n">
        <v>3.9929</v>
      </c>
      <c r="H9" s="47" t="n">
        <v>7.0816</v>
      </c>
      <c r="I9" s="50" t="inlineStr">
        <is>
          <t>—</t>
        </is>
      </c>
      <c r="J9" s="49" t="n">
        <v>0.308813080521594</v>
      </c>
      <c r="K9" s="49" t="n">
        <v>0.557014104027393</v>
      </c>
      <c r="L9" s="49" t="n">
        <v>4.4249</v>
      </c>
      <c r="M9" s="45" t="n">
        <v>118.698</v>
      </c>
      <c r="N9" s="45" t="n">
        <v>110.5505</v>
      </c>
      <c r="O9" s="49" t="n">
        <v>1.97</v>
      </c>
      <c r="P9" s="50" t="n">
        <v>1.61</v>
      </c>
      <c r="Q9" s="45" t="n">
        <v>79.90000000000001</v>
      </c>
      <c r="R9" s="43" t="inlineStr">
        <is>
          <t>Strong Buy</t>
        </is>
      </c>
    </row>
    <row r="10" ht="16" customHeight="1">
      <c r="A10" s="26" t="n">
        <v>5</v>
      </c>
      <c r="B10" s="24" t="inlineStr">
        <is>
          <t>Aditya Birla SL Flexi Cap Fund-Reg(G)</t>
        </is>
      </c>
      <c r="C10" s="24" t="inlineStr">
        <is>
          <t>Aditya Birla Sun Life AMC Limited</t>
        </is>
      </c>
      <c r="D10" s="37" t="n">
        <v>25206.6038</v>
      </c>
      <c r="E10" s="38" t="n">
        <v>27.610958</v>
      </c>
      <c r="F10" s="24" t="inlineStr">
        <is>
          <t>NIFTY 50 - TRI</t>
        </is>
      </c>
      <c r="G10" s="40" t="n">
        <v>4.3907</v>
      </c>
      <c r="H10" s="40" t="n">
        <v>4.9834</v>
      </c>
      <c r="I10" s="39" t="n">
        <v>2.1814</v>
      </c>
      <c r="J10" s="41" t="n">
        <v>0.315803760740989</v>
      </c>
      <c r="K10" s="41" t="n">
        <v>0.5933363035957649</v>
      </c>
      <c r="L10" s="41" t="n">
        <v>3.5844</v>
      </c>
      <c r="M10" s="38" t="n">
        <v>99.68049999999999</v>
      </c>
      <c r="N10" s="38" t="n">
        <v>87.9842</v>
      </c>
      <c r="O10" s="41" t="n">
        <v>1.65</v>
      </c>
      <c r="P10" s="42" t="n">
        <v>0.7999999999999999</v>
      </c>
      <c r="Q10" s="38" t="n">
        <v>79.8</v>
      </c>
      <c r="R10" s="43" t="inlineStr">
        <is>
          <t>Strong Buy</t>
        </is>
      </c>
    </row>
    <row r="11" ht="16" customHeight="1">
      <c r="A11" s="22" t="n">
        <v>6</v>
      </c>
      <c r="B11" s="20" t="inlineStr">
        <is>
          <t>WOC Flexi Cap Fund-Reg(G)</t>
        </is>
      </c>
      <c r="C11" s="20" t="inlineStr">
        <is>
          <t>WhiteOak Capital Asset Management Limited</t>
        </is>
      </c>
      <c r="D11" s="44" t="n">
        <v>7286.8557</v>
      </c>
      <c r="E11" s="45" t="n">
        <v>3.663013</v>
      </c>
      <c r="F11" s="20" t="inlineStr">
        <is>
          <t>NIFTY 50 - TRI</t>
        </is>
      </c>
      <c r="G11" s="48" t="n">
        <v>1.074</v>
      </c>
      <c r="H11" s="47" t="n">
        <v>5.587099999999998</v>
      </c>
      <c r="I11" s="50" t="inlineStr">
        <is>
          <t>—</t>
        </is>
      </c>
      <c r="J11" s="49" t="n">
        <v>0.315625115517651</v>
      </c>
      <c r="K11" s="49" t="n">
        <v>0.578338090860709</v>
      </c>
      <c r="L11" s="49" t="n">
        <v>3.7873</v>
      </c>
      <c r="M11" s="45" t="n">
        <v>120.6338</v>
      </c>
      <c r="N11" s="45" t="n">
        <v>96.8353</v>
      </c>
      <c r="O11" s="49" t="n">
        <v>1.77</v>
      </c>
      <c r="P11" s="50" t="n">
        <v>1.2</v>
      </c>
      <c r="Q11" s="45" t="n">
        <v>79.09999999999999</v>
      </c>
      <c r="R11" s="43" t="inlineStr">
        <is>
          <t>Strong Buy</t>
        </is>
      </c>
    </row>
    <row r="12" ht="16" customHeight="1">
      <c r="A12" s="26" t="n">
        <v>7</v>
      </c>
      <c r="B12" s="24" t="inlineStr">
        <is>
          <t>Motilal Oswal Flexi Cap Fund-Reg(G)</t>
        </is>
      </c>
      <c r="C12" s="24" t="inlineStr">
        <is>
          <t>Motilal Oswal Asset Management Company Limited</t>
        </is>
      </c>
      <c r="D12" s="37" t="n">
        <v>12890.3305</v>
      </c>
      <c r="E12" s="38" t="n">
        <v>11.931506</v>
      </c>
      <c r="F12" s="24" t="inlineStr">
        <is>
          <t>NIFTY 50 - TRI</t>
        </is>
      </c>
      <c r="G12" s="56" t="n">
        <v>-6.4946</v>
      </c>
      <c r="H12" s="40" t="n">
        <v>7.668200000000001</v>
      </c>
      <c r="I12" s="39" t="n">
        <v>0.1613000000000007</v>
      </c>
      <c r="J12" s="41" t="n">
        <v>0.290592931410541</v>
      </c>
      <c r="K12" s="41" t="n">
        <v>0.529076994255311</v>
      </c>
      <c r="L12" s="41" t="n">
        <v>4.7223</v>
      </c>
      <c r="M12" s="38" t="n">
        <v>117.3255</v>
      </c>
      <c r="N12" s="38" t="n">
        <v>108.3224</v>
      </c>
      <c r="O12" s="41" t="n">
        <v>1.71</v>
      </c>
      <c r="P12" s="42" t="n">
        <v>0.8999999999999999</v>
      </c>
      <c r="Q12" s="38" t="n">
        <v>71</v>
      </c>
      <c r="R12" s="51" t="inlineStr">
        <is>
          <t>Buy</t>
        </is>
      </c>
    </row>
    <row r="13" ht="16" customHeight="1">
      <c r="A13" s="22" t="n">
        <v>8</v>
      </c>
      <c r="B13" s="20" t="inlineStr">
        <is>
          <t>ICICI Pru Flexicap Fund(G)</t>
        </is>
      </c>
      <c r="C13" s="20" t="inlineStr">
        <is>
          <t>ICICI Prudential Asset Management Company Limited</t>
        </is>
      </c>
      <c r="D13" s="44" t="n">
        <v>20437.465140006</v>
      </c>
      <c r="E13" s="45" t="n">
        <v>4.701369</v>
      </c>
      <c r="F13" s="20" t="inlineStr">
        <is>
          <t>NIFTY 50 - TRI</t>
        </is>
      </c>
      <c r="G13" s="47" t="n">
        <v>5.4495</v>
      </c>
      <c r="H13" s="47" t="n">
        <v>5.036899999999999</v>
      </c>
      <c r="I13" s="50" t="inlineStr">
        <is>
          <t>—</t>
        </is>
      </c>
      <c r="J13" s="49" t="n">
        <v>0.30227579380584</v>
      </c>
      <c r="K13" s="49" t="n">
        <v>0.512234385345398</v>
      </c>
      <c r="L13" s="49" t="n">
        <v>3.8391</v>
      </c>
      <c r="M13" s="45" t="n">
        <v>120.581</v>
      </c>
      <c r="N13" s="45" t="n">
        <v>101.011</v>
      </c>
      <c r="O13" s="49" t="n">
        <v>1.67</v>
      </c>
      <c r="P13" s="50" t="n">
        <v>0.8899999999999999</v>
      </c>
      <c r="Q13" s="45" t="n">
        <v>70.8</v>
      </c>
      <c r="R13" s="51" t="inlineStr">
        <is>
          <t>Buy</t>
        </is>
      </c>
    </row>
    <row r="14" ht="16" customHeight="1">
      <c r="A14" s="26" t="n">
        <v>9</v>
      </c>
      <c r="B14" s="24" t="inlineStr">
        <is>
          <t>Edelweiss Flexi Cap Fund-Reg(G)</t>
        </is>
      </c>
      <c r="C14" s="24" t="inlineStr">
        <is>
          <t>Edelweiss Asset Management Limited</t>
        </is>
      </c>
      <c r="D14" s="37" t="n">
        <v>3202.7503</v>
      </c>
      <c r="E14" s="38" t="n">
        <v>11.161643</v>
      </c>
      <c r="F14" s="24" t="inlineStr">
        <is>
          <t>NIFTY 50 - TRI</t>
        </is>
      </c>
      <c r="G14" s="39" t="n">
        <v>2.8801</v>
      </c>
      <c r="H14" s="40" t="n">
        <v>5.022499999999999</v>
      </c>
      <c r="I14" s="40" t="n">
        <v>3.1623</v>
      </c>
      <c r="J14" s="41" t="n">
        <v>0.293580536828018</v>
      </c>
      <c r="K14" s="41" t="n">
        <v>0.528533048458951</v>
      </c>
      <c r="L14" s="41" t="n">
        <v>3.9603</v>
      </c>
      <c r="M14" s="38" t="n">
        <v>105.9358</v>
      </c>
      <c r="N14" s="38" t="n">
        <v>100.4171</v>
      </c>
      <c r="O14" s="41" t="n">
        <v>1.88</v>
      </c>
      <c r="P14" s="42" t="n">
        <v>1.45</v>
      </c>
      <c r="Q14" s="38" t="n">
        <v>67.09999999999999</v>
      </c>
      <c r="R14" s="51" t="inlineStr">
        <is>
          <t>Buy</t>
        </is>
      </c>
    </row>
    <row r="15" ht="16" customHeight="1">
      <c r="A15" s="22" t="n">
        <v>10</v>
      </c>
      <c r="B15" s="20" t="inlineStr">
        <is>
          <t>JM Flexicap Fund-Reg(G)</t>
        </is>
      </c>
      <c r="C15" s="20" t="inlineStr">
        <is>
          <t>JM Financial Asset Management Private Limited</t>
        </is>
      </c>
      <c r="D15" s="44" t="n">
        <v>5158.725090148</v>
      </c>
      <c r="E15" s="45" t="n">
        <v>17.528767</v>
      </c>
      <c r="F15" s="20" t="inlineStr">
        <is>
          <t>NIFTY 50 - TRI</t>
        </is>
      </c>
      <c r="G15" s="53" t="n">
        <v>-4.4529</v>
      </c>
      <c r="H15" s="47" t="n">
        <v>5.512500000000001</v>
      </c>
      <c r="I15" s="47" t="n">
        <v>4.541</v>
      </c>
      <c r="J15" s="49" t="n">
        <v>0.277173702577958</v>
      </c>
      <c r="K15" s="49" t="n">
        <v>0.514488047475761</v>
      </c>
      <c r="L15" s="49" t="n">
        <v>4.4415</v>
      </c>
      <c r="M15" s="45" t="n">
        <v>126.1915</v>
      </c>
      <c r="N15" s="45" t="n">
        <v>107.7138</v>
      </c>
      <c r="O15" s="49" t="n">
        <v>1.84</v>
      </c>
      <c r="P15" s="50" t="n">
        <v>1.18</v>
      </c>
      <c r="Q15" s="45" t="n">
        <v>59.2</v>
      </c>
      <c r="R15" s="52" t="inlineStr">
        <is>
          <t>Hold</t>
        </is>
      </c>
    </row>
    <row r="16" ht="16" customHeight="1">
      <c r="A16" s="26" t="n">
        <v>11</v>
      </c>
      <c r="B16" s="24" t="inlineStr">
        <is>
          <t>Kotak Flexicap Fund(G)</t>
        </is>
      </c>
      <c r="C16" s="24" t="inlineStr">
        <is>
          <t>Kotak Mahindra Asset Management Company Limited</t>
        </is>
      </c>
      <c r="D16" s="37" t="n">
        <v>56853.229</v>
      </c>
      <c r="E16" s="38" t="n">
        <v>16.561643</v>
      </c>
      <c r="F16" s="24" t="inlineStr">
        <is>
          <t>NIFTY 50 - TRI</t>
        </is>
      </c>
      <c r="G16" s="40" t="n">
        <v>3.0072</v>
      </c>
      <c r="H16" s="40" t="n">
        <v>3.057499999999999</v>
      </c>
      <c r="I16" s="39" t="n">
        <v>1.3688</v>
      </c>
      <c r="J16" s="41" t="n">
        <v>0.280859768993005</v>
      </c>
      <c r="K16" s="41" t="n">
        <v>0.510858115105785</v>
      </c>
      <c r="L16" s="41" t="n">
        <v>3.6882</v>
      </c>
      <c r="M16" s="38" t="n">
        <v>96.5243</v>
      </c>
      <c r="N16" s="38" t="n">
        <v>90.99590000000001</v>
      </c>
      <c r="O16" s="41" t="n">
        <v>1.43</v>
      </c>
      <c r="P16" s="42" t="n">
        <v>0.84</v>
      </c>
      <c r="Q16" s="38" t="n">
        <v>57.7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Franklin India Flexi Cap Fund(G)</t>
        </is>
      </c>
      <c r="C17" s="20" t="inlineStr">
        <is>
          <t>Franklin Templeton Asset Management (India) Private Limited</t>
        </is>
      </c>
      <c r="D17" s="44" t="n">
        <v>19597.857880078</v>
      </c>
      <c r="E17" s="45" t="n">
        <v>31.523287</v>
      </c>
      <c r="F17" s="20" t="inlineStr">
        <is>
          <t>NIFTY 500</t>
        </is>
      </c>
      <c r="G17" s="46" t="n">
        <v>-1.0441</v>
      </c>
      <c r="H17" s="48" t="n">
        <v>2.3081</v>
      </c>
      <c r="I17" s="48" t="n">
        <v>2.792599999999998</v>
      </c>
      <c r="J17" s="49" t="n">
        <v>0.301910579240422</v>
      </c>
      <c r="K17" s="49" t="n">
        <v>0.545178830473713</v>
      </c>
      <c r="L17" s="49" t="n">
        <v>3.6099</v>
      </c>
      <c r="M17" s="45" t="n">
        <v>98.04130000000001</v>
      </c>
      <c r="N17" s="45" t="n">
        <v>88.6366</v>
      </c>
      <c r="O17" s="49" t="n">
        <v>1.69</v>
      </c>
      <c r="P17" s="50" t="n">
        <v>0.7999999999999999</v>
      </c>
      <c r="Q17" s="45" t="n">
        <v>56.9</v>
      </c>
      <c r="R17" s="52" t="inlineStr">
        <is>
          <t>Hold</t>
        </is>
      </c>
    </row>
    <row r="18" ht="16" customHeight="1">
      <c r="A18" s="26" t="n">
        <v>13</v>
      </c>
      <c r="B18" s="24" t="inlineStr">
        <is>
          <t>Invesco India Flexi Cap Fund-Reg(G)</t>
        </is>
      </c>
      <c r="C18" s="24" t="inlineStr">
        <is>
          <t>Invesco Asset Management Company Pvt Ltd.</t>
        </is>
      </c>
      <c r="D18" s="37" t="n">
        <v>4679.8463</v>
      </c>
      <c r="E18" s="38" t="n">
        <v>4.126027</v>
      </c>
      <c r="F18" s="24" t="inlineStr">
        <is>
          <t>NIFTY 50 - TRI</t>
        </is>
      </c>
      <c r="G18" s="54" t="n">
        <v>-2.1372</v>
      </c>
      <c r="H18" s="40" t="n">
        <v>5.442400000000001</v>
      </c>
      <c r="I18" s="42" t="inlineStr">
        <is>
          <t>—</t>
        </is>
      </c>
      <c r="J18" s="41" t="n">
        <v>0.279529089633636</v>
      </c>
      <c r="K18" s="41" t="n">
        <v>0.476734591486241</v>
      </c>
      <c r="L18" s="41" t="n">
        <v>4.4191</v>
      </c>
      <c r="M18" s="38" t="n">
        <v>128.3056</v>
      </c>
      <c r="N18" s="38" t="n">
        <v>111.7524</v>
      </c>
      <c r="O18" s="41" t="n">
        <v>1.84</v>
      </c>
      <c r="P18" s="42" t="n">
        <v>1.32</v>
      </c>
      <c r="Q18" s="38" t="n">
        <v>55.2</v>
      </c>
      <c r="R18" s="52" t="inlineStr">
        <is>
          <t>Hold</t>
        </is>
      </c>
    </row>
    <row r="19" ht="16" customHeight="1">
      <c r="A19" s="22" t="n">
        <v>14</v>
      </c>
      <c r="B19" s="20" t="inlineStr">
        <is>
          <t>Tata Flexi Cap Fund-Reg(G)</t>
        </is>
      </c>
      <c r="C19" s="20" t="inlineStr">
        <is>
          <t>Tata Asset Management Private Limited</t>
        </is>
      </c>
      <c r="D19" s="44" t="n">
        <v>3698.915651541</v>
      </c>
      <c r="E19" s="45" t="n">
        <v>7.569863</v>
      </c>
      <c r="F19" s="20" t="inlineStr">
        <is>
          <t>NIFTY 50 - TRI</t>
        </is>
      </c>
      <c r="G19" s="48" t="n">
        <v>0.8339000000000003</v>
      </c>
      <c r="H19" s="48" t="n">
        <v>2.916399999999999</v>
      </c>
      <c r="I19" s="48" t="n">
        <v>0.04209999999999958</v>
      </c>
      <c r="J19" s="49" t="n">
        <v>0.284413247566064</v>
      </c>
      <c r="K19" s="49" t="n">
        <v>0.543262674341377</v>
      </c>
      <c r="L19" s="49" t="n">
        <v>3.4512</v>
      </c>
      <c r="M19" s="45" t="n">
        <v>89.28360000000001</v>
      </c>
      <c r="N19" s="45" t="n">
        <v>79.1241</v>
      </c>
      <c r="O19" s="49" t="n">
        <v>1.88</v>
      </c>
      <c r="P19" s="50" t="n">
        <v>1.27</v>
      </c>
      <c r="Q19" s="45" t="n">
        <v>54.2</v>
      </c>
      <c r="R19" s="52" t="inlineStr">
        <is>
          <t>Hold</t>
        </is>
      </c>
    </row>
    <row r="20" ht="16" customHeight="1">
      <c r="A20" s="26" t="n">
        <v>14</v>
      </c>
      <c r="B20" s="24" t="inlineStr">
        <is>
          <t>Mirae Asset Flexi Cap Fund-Reg(G)</t>
        </is>
      </c>
      <c r="C20" s="24" t="inlineStr">
        <is>
          <t>Mirae Asset Investment Managers (India) Private Limited</t>
        </is>
      </c>
      <c r="D20" s="37" t="n">
        <v>3655.7944</v>
      </c>
      <c r="E20" s="38" t="n">
        <v>3.09863</v>
      </c>
      <c r="F20" s="24" t="inlineStr">
        <is>
          <t>NIFTY 50 - TRI</t>
        </is>
      </c>
      <c r="G20" s="40" t="n">
        <v>3.8645</v>
      </c>
      <c r="H20" s="39" t="n">
        <v>2.930899999999999</v>
      </c>
      <c r="I20" s="42" t="inlineStr">
        <is>
          <t>—</t>
        </is>
      </c>
      <c r="J20" s="41" t="n">
        <v>0.278597894505374</v>
      </c>
      <c r="K20" s="41" t="n">
        <v>0.51351048738474</v>
      </c>
      <c r="L20" s="41" t="n">
        <v>3.6381</v>
      </c>
      <c r="M20" s="38" t="n">
        <v>96.8621</v>
      </c>
      <c r="N20" s="38" t="n">
        <v>93.7418</v>
      </c>
      <c r="O20" s="41" t="n">
        <v>1.87</v>
      </c>
      <c r="P20" s="42" t="n">
        <v>1.43</v>
      </c>
      <c r="Q20" s="38" t="n">
        <v>54.2</v>
      </c>
      <c r="R20" s="52" t="inlineStr">
        <is>
          <t>Hold</t>
        </is>
      </c>
    </row>
    <row r="21" ht="16" customHeight="1">
      <c r="A21" s="22" t="n">
        <v>16</v>
      </c>
      <c r="B21" s="20" t="inlineStr">
        <is>
          <t>HSBC Flexi Cap Fund-Reg(G)</t>
        </is>
      </c>
      <c r="C21" s="20" t="inlineStr">
        <is>
          <t>HSBC Global Asset Management (India) Private Limited</t>
        </is>
      </c>
      <c r="D21" s="44" t="n">
        <v>5278.8376</v>
      </c>
      <c r="E21" s="45" t="n">
        <v>22.112328</v>
      </c>
      <c r="F21" s="20" t="inlineStr">
        <is>
          <t>NIFTY 50 - TRI</t>
        </is>
      </c>
      <c r="G21" s="48" t="n">
        <v>1.4747</v>
      </c>
      <c r="H21" s="47" t="n">
        <v>4.5532</v>
      </c>
      <c r="I21" s="48" t="n">
        <v>2.532999999999999</v>
      </c>
      <c r="J21" s="49" t="n">
        <v>0.277572154182094</v>
      </c>
      <c r="K21" s="49" t="n">
        <v>0.490733498384457</v>
      </c>
      <c r="L21" s="49" t="n">
        <v>4.2132</v>
      </c>
      <c r="M21" s="45" t="n">
        <v>110.3097</v>
      </c>
      <c r="N21" s="45" t="n">
        <v>110.6045</v>
      </c>
      <c r="O21" s="49" t="n">
        <v>1.93</v>
      </c>
      <c r="P21" s="50" t="n">
        <v>0.73</v>
      </c>
      <c r="Q21" s="45" t="n">
        <v>51.1</v>
      </c>
      <c r="R21" s="52" t="inlineStr">
        <is>
          <t>Hold</t>
        </is>
      </c>
    </row>
    <row r="22" ht="16" customHeight="1">
      <c r="A22" s="26" t="n">
        <v>17</v>
      </c>
      <c r="B22" s="24" t="inlineStr">
        <is>
          <t>Bandhan Flexi Cap Fund-Reg(G)</t>
        </is>
      </c>
      <c r="C22" s="24" t="inlineStr">
        <is>
          <t>Bandhan AMC Limited</t>
        </is>
      </c>
      <c r="D22" s="37" t="n">
        <v>7427.2427</v>
      </c>
      <c r="E22" s="38" t="n">
        <v>20.517808</v>
      </c>
      <c r="F22" s="24" t="inlineStr">
        <is>
          <t>NIFTY 50 - TRI</t>
        </is>
      </c>
      <c r="G22" s="39" t="n">
        <v>2.1661</v>
      </c>
      <c r="H22" s="39" t="n">
        <v>2.671999999999999</v>
      </c>
      <c r="I22" s="39" t="n">
        <v>0.8420000000000005</v>
      </c>
      <c r="J22" s="41" t="n">
        <v>0.278442570328003</v>
      </c>
      <c r="K22" s="41" t="n">
        <v>0.499747027706489</v>
      </c>
      <c r="L22" s="41" t="n">
        <v>3.4268</v>
      </c>
      <c r="M22" s="38" t="n">
        <v>107.2315</v>
      </c>
      <c r="N22" s="38" t="n">
        <v>93.67740000000001</v>
      </c>
      <c r="O22" s="41" t="n">
        <v>1.86</v>
      </c>
      <c r="P22" s="42" t="n">
        <v>0.7300000000000002</v>
      </c>
      <c r="Q22" s="38" t="n">
        <v>46.4</v>
      </c>
      <c r="R22" s="52" t="inlineStr">
        <is>
          <t>Hold</t>
        </is>
      </c>
    </row>
    <row r="23" ht="16" customHeight="1">
      <c r="A23" s="22" t="n">
        <v>18</v>
      </c>
      <c r="B23" s="20" t="inlineStr">
        <is>
          <t>Quant Flexi Cap Fund(G)</t>
        </is>
      </c>
      <c r="C23" s="20" t="inlineStr">
        <is>
          <t>Quant Money Managers Limited</t>
        </is>
      </c>
      <c r="D23" s="44" t="n">
        <v>6353.9229</v>
      </c>
      <c r="E23" s="45" t="n">
        <v>17.528767</v>
      </c>
      <c r="F23" s="20" t="inlineStr">
        <is>
          <t>NIFTY 50 - TRI</t>
        </is>
      </c>
      <c r="G23" s="48" t="n">
        <v>0.09770000000000012</v>
      </c>
      <c r="H23" s="47" t="n">
        <v>4.0922</v>
      </c>
      <c r="I23" s="47" t="n">
        <v>7.2546</v>
      </c>
      <c r="J23" s="49" t="n">
        <v>0.23729054908631</v>
      </c>
      <c r="K23" s="49" t="n">
        <v>0.470803011292346</v>
      </c>
      <c r="L23" s="49" t="n">
        <v>4.5858</v>
      </c>
      <c r="M23" s="45" t="n">
        <v>111.3511</v>
      </c>
      <c r="N23" s="45" t="n">
        <v>122.5595</v>
      </c>
      <c r="O23" s="49" t="n">
        <v>1.83</v>
      </c>
      <c r="P23" s="50" t="n">
        <v>1.12</v>
      </c>
      <c r="Q23" s="45" t="n">
        <v>44</v>
      </c>
      <c r="R23" s="55" t="inlineStr">
        <is>
          <t>Underweight</t>
        </is>
      </c>
    </row>
    <row r="24" ht="16" customHeight="1">
      <c r="A24" s="26" t="n">
        <v>19</v>
      </c>
      <c r="B24" s="24" t="inlineStr">
        <is>
          <t>Mahindra Manulife Flexi Cap Fund-Reg(G)</t>
        </is>
      </c>
      <c r="C24" s="24" t="inlineStr">
        <is>
          <t>Mahindra Manulife Investment Management Private Limited</t>
        </is>
      </c>
      <c r="D24" s="37" t="n">
        <v>1556.1088</v>
      </c>
      <c r="E24" s="38" t="n">
        <v>4.605479</v>
      </c>
      <c r="F24" s="24" t="inlineStr">
        <is>
          <t>NIFTY 50 - TRI</t>
        </is>
      </c>
      <c r="G24" s="54" t="n">
        <v>-0.5420999999999996</v>
      </c>
      <c r="H24" s="39" t="n">
        <v>1.8787</v>
      </c>
      <c r="I24" s="42" t="inlineStr">
        <is>
          <t>—</t>
        </is>
      </c>
      <c r="J24" s="41" t="n">
        <v>0.252704707251712</v>
      </c>
      <c r="K24" s="41" t="n">
        <v>0.453011937111801</v>
      </c>
      <c r="L24" s="41" t="n">
        <v>3.6943</v>
      </c>
      <c r="M24" s="38" t="n">
        <v>95.6126</v>
      </c>
      <c r="N24" s="38" t="n">
        <v>99.1994</v>
      </c>
      <c r="O24" s="41" t="n">
        <v>2.07</v>
      </c>
      <c r="P24" s="42" t="n">
        <v>1.53</v>
      </c>
      <c r="Q24" s="38" t="n">
        <v>33</v>
      </c>
      <c r="R24" s="55" t="inlineStr">
        <is>
          <t>Underweight</t>
        </is>
      </c>
    </row>
    <row r="25" ht="16" customHeight="1">
      <c r="A25" s="22" t="n">
        <v>20</v>
      </c>
      <c r="B25" s="20" t="inlineStr">
        <is>
          <t>Baroda BNP Paribas Flexi Cap Fund-Reg(G)</t>
        </is>
      </c>
      <c r="C25" s="20" t="inlineStr">
        <is>
          <t>Baroda BNP Paribas Asset Management India Pvt. Ltd.</t>
        </is>
      </c>
      <c r="D25" s="44" t="n">
        <v>1226.4362</v>
      </c>
      <c r="E25" s="45" t="n">
        <v>3.621917</v>
      </c>
      <c r="F25" s="20" t="inlineStr">
        <is>
          <t>NIFTY 50 - TRI</t>
        </is>
      </c>
      <c r="G25" s="48" t="n">
        <v>0.8151999999999999</v>
      </c>
      <c r="H25" s="48" t="n">
        <v>2.550899999999999</v>
      </c>
      <c r="I25" s="50" t="inlineStr">
        <is>
          <t>—</t>
        </is>
      </c>
      <c r="J25" s="49" t="n">
        <v>0.244587463740699</v>
      </c>
      <c r="K25" s="49" t="n">
        <v>0.423287497817356</v>
      </c>
      <c r="L25" s="49" t="n">
        <v>3.9645</v>
      </c>
      <c r="M25" s="45" t="n">
        <v>100.8909</v>
      </c>
      <c r="N25" s="45" t="n">
        <v>108.5166</v>
      </c>
      <c r="O25" s="49" t="n">
        <v>2.18</v>
      </c>
      <c r="P25" s="50" t="n">
        <v>1.17</v>
      </c>
      <c r="Q25" s="45" t="n">
        <v>30.2</v>
      </c>
      <c r="R25" s="55" t="inlineStr">
        <is>
          <t>Underweight</t>
        </is>
      </c>
    </row>
    <row r="26" ht="16" customHeight="1">
      <c r="A26" s="26" t="n">
        <v>21</v>
      </c>
      <c r="B26" s="24" t="inlineStr">
        <is>
          <t>Axis Flexi Cap Fund-Reg(G)</t>
        </is>
      </c>
      <c r="C26" s="24" t="inlineStr">
        <is>
          <t>Axis Asset Management Company Ltd.</t>
        </is>
      </c>
      <c r="D26" s="37" t="n">
        <v>12871.398798</v>
      </c>
      <c r="E26" s="38" t="n">
        <v>8.372602000000001</v>
      </c>
      <c r="F26" s="24" t="inlineStr">
        <is>
          <t>NIFTY 50 - TRI</t>
        </is>
      </c>
      <c r="G26" s="39" t="n">
        <v>0.0552999999999999</v>
      </c>
      <c r="H26" s="39" t="n">
        <v>1.7416</v>
      </c>
      <c r="I26" s="54" t="n">
        <v>-1.2966</v>
      </c>
      <c r="J26" s="41" t="n">
        <v>0.234174579419961</v>
      </c>
      <c r="K26" s="41" t="n">
        <v>0.424215667944283</v>
      </c>
      <c r="L26" s="41" t="n">
        <v>3.8756</v>
      </c>
      <c r="M26" s="38" t="n">
        <v>95.6066</v>
      </c>
      <c r="N26" s="38" t="n">
        <v>101.3429</v>
      </c>
      <c r="O26" s="41" t="n">
        <v>1.72</v>
      </c>
      <c r="P26" s="42" t="n">
        <v>1</v>
      </c>
      <c r="Q26" s="38" t="n">
        <v>24.2</v>
      </c>
      <c r="R26" s="57" t="inlineStr">
        <is>
          <t>Avoid</t>
        </is>
      </c>
    </row>
    <row r="27" ht="16" customHeight="1">
      <c r="A27" s="22" t="n">
        <v>22</v>
      </c>
      <c r="B27" s="20" t="inlineStr">
        <is>
          <t>Nippon India Flexi Cap Fund-Reg(G)</t>
        </is>
      </c>
      <c r="C27" s="20" t="inlineStr">
        <is>
          <t>Nippon Life India Asset Management Limited</t>
        </is>
      </c>
      <c r="D27" s="44" t="n">
        <v>9298.4498</v>
      </c>
      <c r="E27" s="45" t="n">
        <v>4.632876</v>
      </c>
      <c r="F27" s="20" t="inlineStr">
        <is>
          <t>BSE SENSEX - TRI</t>
        </is>
      </c>
      <c r="G27" s="53" t="n">
        <v>-9.4994</v>
      </c>
      <c r="H27" s="53" t="n">
        <v>-4.238099999999998</v>
      </c>
      <c r="I27" s="50" t="inlineStr">
        <is>
          <t>—</t>
        </is>
      </c>
      <c r="J27" s="49" t="n">
        <v>0.245708331202373</v>
      </c>
      <c r="K27" s="49" t="n">
        <v>0.437095482873129</v>
      </c>
      <c r="L27" s="49" t="n">
        <v>3.9106</v>
      </c>
      <c r="M27" s="45" t="n">
        <v>98.1206</v>
      </c>
      <c r="N27" s="45" t="n">
        <v>102.9243</v>
      </c>
      <c r="O27" s="49" t="n">
        <v>1.73</v>
      </c>
      <c r="P27" s="50" t="n">
        <v>1.28</v>
      </c>
      <c r="Q27" s="45" t="n">
        <v>24.1</v>
      </c>
      <c r="R27" s="57" t="inlineStr">
        <is>
          <t>Avoid</t>
        </is>
      </c>
    </row>
    <row r="28" ht="16" customHeight="1">
      <c r="A28" s="26" t="n">
        <v>23</v>
      </c>
      <c r="B28" s="24" t="inlineStr">
        <is>
          <t>Sundaram Flexi Cap Fund-Reg(G)</t>
        </is>
      </c>
      <c r="C28" s="24" t="inlineStr">
        <is>
          <t>Sundaram Asset Management Company Limited</t>
        </is>
      </c>
      <c r="D28" s="37" t="n">
        <v>2058.698624</v>
      </c>
      <c r="E28" s="38" t="n">
        <v>3.567123</v>
      </c>
      <c r="F28" s="24" t="inlineStr">
        <is>
          <t>NIFTY 50 - TRI</t>
        </is>
      </c>
      <c r="G28" s="54" t="n">
        <v>-0.05449999999999999</v>
      </c>
      <c r="H28" s="39" t="n">
        <v>0.8170999999999999</v>
      </c>
      <c r="I28" s="42" t="inlineStr">
        <is>
          <t>—</t>
        </is>
      </c>
      <c r="J28" s="41" t="n">
        <v>0.240201225097321</v>
      </c>
      <c r="K28" s="41" t="n">
        <v>0.420066576563047</v>
      </c>
      <c r="L28" s="41" t="n">
        <v>3.4936</v>
      </c>
      <c r="M28" s="38" t="n">
        <v>87.41330000000001</v>
      </c>
      <c r="N28" s="38" t="n">
        <v>89.46429999999999</v>
      </c>
      <c r="O28" s="41" t="n">
        <v>2.04</v>
      </c>
      <c r="P28" s="42" t="n">
        <v>1.34</v>
      </c>
      <c r="Q28" s="38" t="n">
        <v>21.9</v>
      </c>
      <c r="R28" s="57" t="inlineStr">
        <is>
          <t>Avoid</t>
        </is>
      </c>
    </row>
    <row r="29" ht="16" customHeight="1">
      <c r="A29" s="22" t="n">
        <v>24</v>
      </c>
      <c r="B29" s="20" t="inlineStr">
        <is>
          <t>Canara Rob Flexi Cap Fund-Reg(G)</t>
        </is>
      </c>
      <c r="C29" s="20" t="inlineStr">
        <is>
          <t>Canara Robeco Asset Management Company Limited</t>
        </is>
      </c>
      <c r="D29" s="44" t="n">
        <v>13389.8922</v>
      </c>
      <c r="E29" s="45" t="n">
        <v>22.553424</v>
      </c>
      <c r="F29" s="20" t="inlineStr">
        <is>
          <t>BSE SENSEX - TRI</t>
        </is>
      </c>
      <c r="G29" s="53" t="n">
        <v>-7.1213</v>
      </c>
      <c r="H29" s="53" t="n">
        <v>-4.713999999999999</v>
      </c>
      <c r="I29" s="53" t="n">
        <v>-9.1205</v>
      </c>
      <c r="J29" s="49" t="n">
        <v>0.251423999554739</v>
      </c>
      <c r="K29" s="49" t="n">
        <v>0.451394953784662</v>
      </c>
      <c r="L29" s="49" t="n">
        <v>3.5934</v>
      </c>
      <c r="M29" s="45" t="n">
        <v>95.926</v>
      </c>
      <c r="N29" s="45" t="n">
        <v>90.70910000000001</v>
      </c>
      <c r="O29" s="49" t="n">
        <v>1.69</v>
      </c>
      <c r="P29" s="50" t="n">
        <v>1.13</v>
      </c>
      <c r="Q29" s="45" t="n">
        <v>20.9</v>
      </c>
      <c r="R29" s="57" t="inlineStr">
        <is>
          <t>Avoid</t>
        </is>
      </c>
    </row>
    <row r="30" ht="16" customHeight="1">
      <c r="A30" s="26" t="n">
        <v>25</v>
      </c>
      <c r="B30" s="24" t="inlineStr">
        <is>
          <t>LIC MF Flexi Cap Fund-Reg(G)</t>
        </is>
      </c>
      <c r="C30" s="24" t="inlineStr">
        <is>
          <t>LIC Mutual Fund Asset Management Limited</t>
        </is>
      </c>
      <c r="D30" s="37" t="n">
        <v>1000.3619</v>
      </c>
      <c r="E30" s="38" t="n">
        <v>28.019178</v>
      </c>
      <c r="F30" s="24" t="inlineStr">
        <is>
          <t>NIFTY 50 - TRI</t>
        </is>
      </c>
      <c r="G30" s="40" t="n">
        <v>3.5711</v>
      </c>
      <c r="H30" s="39" t="n">
        <v>0.7180999999999997</v>
      </c>
      <c r="I30" s="54" t="n">
        <v>-1.2441</v>
      </c>
      <c r="J30" s="41" t="n">
        <v>0.208416193347825</v>
      </c>
      <c r="K30" s="41" t="n">
        <v>0.353583551431517</v>
      </c>
      <c r="L30" s="41" t="n">
        <v>4.2783</v>
      </c>
      <c r="M30" s="38" t="n">
        <v>101.3113</v>
      </c>
      <c r="N30" s="38" t="n">
        <v>118.586</v>
      </c>
      <c r="O30" s="41" t="n">
        <v>2.32</v>
      </c>
      <c r="P30" s="42" t="n">
        <v>0.7299999999999998</v>
      </c>
      <c r="Q30" s="38" t="n">
        <v>18.3</v>
      </c>
      <c r="R30" s="57" t="inlineStr">
        <is>
          <t>Avoid</t>
        </is>
      </c>
    </row>
    <row r="31" ht="16" customHeight="1">
      <c r="A31" s="22" t="n">
        <v>26</v>
      </c>
      <c r="B31" s="20" t="inlineStr">
        <is>
          <t>PGIM India Flexi Cap Fund-Reg(G)</t>
        </is>
      </c>
      <c r="C31" s="20" t="inlineStr">
        <is>
          <t>PGIM India Asset Management Private Limited</t>
        </is>
      </c>
      <c r="D31" s="44" t="n">
        <v>6004.1198</v>
      </c>
      <c r="E31" s="45" t="n">
        <v>11.082191</v>
      </c>
      <c r="F31" s="20" t="inlineStr">
        <is>
          <t>NIFTY 50 - TRI</t>
        </is>
      </c>
      <c r="G31" s="48" t="n">
        <v>0.02950000000000008</v>
      </c>
      <c r="H31" s="46" t="n">
        <v>-0.9416000000000011</v>
      </c>
      <c r="I31" s="46" t="n">
        <v>-0.3097999999999992</v>
      </c>
      <c r="J31" s="49" t="n">
        <v>0.194852864973955</v>
      </c>
      <c r="K31" s="49" t="n">
        <v>0.352075592568866</v>
      </c>
      <c r="L31" s="49" t="n">
        <v>3.6667</v>
      </c>
      <c r="M31" s="45" t="n">
        <v>86.43389999999999</v>
      </c>
      <c r="N31" s="45" t="n">
        <v>100.4164</v>
      </c>
      <c r="O31" s="49" t="n">
        <v>1.79</v>
      </c>
      <c r="P31" s="50" t="n">
        <v>1.3</v>
      </c>
      <c r="Q31" s="45" t="n">
        <v>15</v>
      </c>
      <c r="R31" s="57" t="inlineStr">
        <is>
          <t>Avoid</t>
        </is>
      </c>
    </row>
    <row r="32" ht="16" customHeight="1">
      <c r="A32" s="26" t="n">
        <v>27</v>
      </c>
      <c r="B32" s="24" t="inlineStr">
        <is>
          <t>Union Flexi Cap Fund-Reg(G)</t>
        </is>
      </c>
      <c r="C32" s="24" t="inlineStr">
        <is>
          <t>Union Asset Management Company Pvt. Ltd.</t>
        </is>
      </c>
      <c r="D32" s="37" t="n">
        <v>2348.8715</v>
      </c>
      <c r="E32" s="38" t="n">
        <v>14.816438</v>
      </c>
      <c r="F32" s="24" t="inlineStr">
        <is>
          <t>BSE SENSEX - TRI</t>
        </is>
      </c>
      <c r="G32" s="56" t="n">
        <v>-8.3498</v>
      </c>
      <c r="H32" s="56" t="n">
        <v>-4.401999999999997</v>
      </c>
      <c r="I32" s="56" t="n">
        <v>-8.591899999999999</v>
      </c>
      <c r="J32" s="41" t="n">
        <v>0.245453984106529</v>
      </c>
      <c r="K32" s="41" t="n">
        <v>0.421398875368732</v>
      </c>
      <c r="L32" s="41" t="n">
        <v>3.7248</v>
      </c>
      <c r="M32" s="38" t="n">
        <v>99.1956</v>
      </c>
      <c r="N32" s="38" t="n">
        <v>97.0341</v>
      </c>
      <c r="O32" s="41" t="n">
        <v>2.02</v>
      </c>
      <c r="P32" s="42" t="n">
        <v>1.09</v>
      </c>
      <c r="Q32" s="38" t="n">
        <v>14.4</v>
      </c>
      <c r="R32" s="57" t="inlineStr">
        <is>
          <t>Avoid</t>
        </is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Mid Cap — Ranked Screener</t>
        </is>
      </c>
    </row>
    <row r="2" ht="15" customHeight="1">
      <c r="A2" s="18" t="inlineStr">
        <is>
          <t>SEBI mandate: Min 65% in companies ranked 101–250 by market cap.   |   Data: March 2026   |   Universe: 30   |   Post-gates: 26</t>
        </is>
      </c>
    </row>
    <row r="3" ht="14" customHeight="1">
      <c r="A3" s="36" t="inlineStr">
        <is>
          <t>Gates: AUM ≥ ₹500 Cr  |  Track record ≥ 3Y  |  3Y Alpha &gt; −5%   |   Weights: Alpha 25%  Sharpe 25%  Consistency 25%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HDFC Mid Cap Fund-Reg(G)</t>
        </is>
      </c>
      <c r="C6" s="24" t="inlineStr">
        <is>
          <t>HDFC Asset Management Company Limited</t>
        </is>
      </c>
      <c r="D6" s="37" t="n">
        <v>94256.89539999999</v>
      </c>
      <c r="E6" s="38" t="n">
        <v>18.778082</v>
      </c>
      <c r="F6" s="24" t="inlineStr">
        <is>
          <t>NIFTY 50 - TRI</t>
        </is>
      </c>
      <c r="G6" s="40" t="n">
        <v>7.8417</v>
      </c>
      <c r="H6" s="40" t="n">
        <v>11.599</v>
      </c>
      <c r="I6" s="40" t="n">
        <v>10.078</v>
      </c>
      <c r="J6" s="41" t="n">
        <v>0.400785903295646</v>
      </c>
      <c r="K6" s="41" t="n">
        <v>0.764636743310845</v>
      </c>
      <c r="L6" s="41" t="n">
        <v>4.157</v>
      </c>
      <c r="M6" s="38" t="n">
        <v>95.5424</v>
      </c>
      <c r="N6" s="38" t="n">
        <v>80.72450000000001</v>
      </c>
      <c r="O6" s="41" t="n">
        <v>1.36</v>
      </c>
      <c r="P6" s="42" t="n">
        <v>0.6000000000000001</v>
      </c>
      <c r="Q6" s="38" t="n">
        <v>93.5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WOC Mid Cap Fund-Reg(G)</t>
        </is>
      </c>
      <c r="C7" s="20" t="inlineStr">
        <is>
          <t>WhiteOak Capital Asset Management Limited</t>
        </is>
      </c>
      <c r="D7" s="44" t="n">
        <v>4694.8525</v>
      </c>
      <c r="E7" s="45" t="n">
        <v>3.564383</v>
      </c>
      <c r="F7" s="20" t="inlineStr">
        <is>
          <t>NIFTY 50 - TRI</t>
        </is>
      </c>
      <c r="G7" s="47" t="n">
        <v>9.354200000000001</v>
      </c>
      <c r="H7" s="47" t="n">
        <v>12.6155</v>
      </c>
      <c r="I7" s="50" t="inlineStr">
        <is>
          <t>—</t>
        </is>
      </c>
      <c r="J7" s="49" t="n">
        <v>0.385160939683666</v>
      </c>
      <c r="K7" s="49" t="n">
        <v>0.726167712254287</v>
      </c>
      <c r="L7" s="49" t="n">
        <v>4.5079</v>
      </c>
      <c r="M7" s="45" t="n">
        <v>145.8909</v>
      </c>
      <c r="N7" s="45" t="n">
        <v>92.5986</v>
      </c>
      <c r="O7" s="49" t="n">
        <v>1.85</v>
      </c>
      <c r="P7" s="50" t="n">
        <v>1.26</v>
      </c>
      <c r="Q7" s="45" t="n">
        <v>88.8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ICICI Pru Midcap Fund(G)</t>
        </is>
      </c>
      <c r="C8" s="24" t="inlineStr">
        <is>
          <t>ICICI Prudential Asset Management Company Limited</t>
        </is>
      </c>
      <c r="D8" s="37" t="n">
        <v>7280.37642242779</v>
      </c>
      <c r="E8" s="38" t="n">
        <v>21.435616</v>
      </c>
      <c r="F8" s="24" t="inlineStr">
        <is>
          <t>NIFTY 50 - TRI</t>
        </is>
      </c>
      <c r="G8" s="40" t="n">
        <v>14.993</v>
      </c>
      <c r="H8" s="40" t="n">
        <v>11.9721</v>
      </c>
      <c r="I8" s="40" t="n">
        <v>8.039999999999999</v>
      </c>
      <c r="J8" s="41" t="n">
        <v>0.369751442615944</v>
      </c>
      <c r="K8" s="41" t="n">
        <v>0.730849526867185</v>
      </c>
      <c r="L8" s="41" t="n">
        <v>4.679</v>
      </c>
      <c r="M8" s="38" t="n">
        <v>100.7825</v>
      </c>
      <c r="N8" s="38" t="n">
        <v>90.1521</v>
      </c>
      <c r="O8" s="41" t="n">
        <v>1.85</v>
      </c>
      <c r="P8" s="42" t="n">
        <v>0.8200000000000001</v>
      </c>
      <c r="Q8" s="38" t="n">
        <v>87.40000000000001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Edelweiss Mid Cap Fund-Reg(G)</t>
        </is>
      </c>
      <c r="C9" s="20" t="inlineStr">
        <is>
          <t>Edelweiss Asset Management Limited</t>
        </is>
      </c>
      <c r="D9" s="44" t="n">
        <v>14355.2206</v>
      </c>
      <c r="E9" s="45" t="n">
        <v>18.273972</v>
      </c>
      <c r="F9" s="20" t="inlineStr">
        <is>
          <t>NIFTY 50 - TRI</t>
        </is>
      </c>
      <c r="G9" s="47" t="n">
        <v>6.4013</v>
      </c>
      <c r="H9" s="47" t="n">
        <v>11.6705</v>
      </c>
      <c r="I9" s="47" t="n">
        <v>8.7836</v>
      </c>
      <c r="J9" s="49" t="n">
        <v>0.366240968518837</v>
      </c>
      <c r="K9" s="49" t="n">
        <v>0.684167670924721</v>
      </c>
      <c r="L9" s="49" t="n">
        <v>4.6504</v>
      </c>
      <c r="M9" s="45" t="n">
        <v>101.127</v>
      </c>
      <c r="N9" s="45" t="n">
        <v>93.1957</v>
      </c>
      <c r="O9" s="49" t="n">
        <v>1.67</v>
      </c>
      <c r="P9" s="50" t="n">
        <v>1.21</v>
      </c>
      <c r="Q9" s="45" t="n">
        <v>83.09999999999999</v>
      </c>
      <c r="R9" s="43" t="inlineStr">
        <is>
          <t>Strong Buy</t>
        </is>
      </c>
    </row>
    <row r="10" ht="16" customHeight="1">
      <c r="A10" s="26" t="n">
        <v>5</v>
      </c>
      <c r="B10" s="24" t="inlineStr">
        <is>
          <t>Invesco India Midcap Fund-Reg(G)</t>
        </is>
      </c>
      <c r="C10" s="24" t="inlineStr">
        <is>
          <t>Invesco Asset Management Company Pvt Ltd.</t>
        </is>
      </c>
      <c r="D10" s="37" t="n">
        <v>10771.9009</v>
      </c>
      <c r="E10" s="38" t="n">
        <v>18.961643</v>
      </c>
      <c r="F10" s="24" t="inlineStr">
        <is>
          <t>NIFTY 50 - TRI</t>
        </is>
      </c>
      <c r="G10" s="40" t="n">
        <v>6.2576</v>
      </c>
      <c r="H10" s="40" t="n">
        <v>12.1259</v>
      </c>
      <c r="I10" s="40" t="n">
        <v>8.010899999999999</v>
      </c>
      <c r="J10" s="41" t="n">
        <v>0.356241366848699</v>
      </c>
      <c r="K10" s="41" t="n">
        <v>0.645553008804482</v>
      </c>
      <c r="L10" s="41" t="n">
        <v>4.9808</v>
      </c>
      <c r="M10" s="38" t="n">
        <v>154.6914</v>
      </c>
      <c r="N10" s="38" t="n">
        <v>109.5539</v>
      </c>
      <c r="O10" s="41" t="n">
        <v>1.71</v>
      </c>
      <c r="P10" s="42" t="n">
        <v>1.17</v>
      </c>
      <c r="Q10" s="38" t="n">
        <v>80.3</v>
      </c>
      <c r="R10" s="43" t="inlineStr">
        <is>
          <t>Strong Buy</t>
        </is>
      </c>
    </row>
    <row r="11" ht="16" customHeight="1">
      <c r="A11" s="22" t="n">
        <v>6</v>
      </c>
      <c r="B11" s="20" t="inlineStr">
        <is>
          <t>Sundaram Mid Cap Fund-Reg(G)</t>
        </is>
      </c>
      <c r="C11" s="20" t="inlineStr">
        <is>
          <t>Sundaram Asset Management Company Limited</t>
        </is>
      </c>
      <c r="D11" s="44" t="n">
        <v>13235.499391</v>
      </c>
      <c r="E11" s="45" t="n">
        <v>23.715068</v>
      </c>
      <c r="F11" s="20" t="inlineStr">
        <is>
          <t>NIFTY 50 - TRI</t>
        </is>
      </c>
      <c r="G11" s="47" t="n">
        <v>6.6306</v>
      </c>
      <c r="H11" s="47" t="n">
        <v>10.9273</v>
      </c>
      <c r="I11" s="47" t="n">
        <v>7.373000000000001</v>
      </c>
      <c r="J11" s="49" t="n">
        <v>0.370971606537998</v>
      </c>
      <c r="K11" s="49" t="n">
        <v>0.666367348605496</v>
      </c>
      <c r="L11" s="49" t="n">
        <v>4.3989</v>
      </c>
      <c r="M11" s="45" t="n">
        <v>97.41289999999999</v>
      </c>
      <c r="N11" s="45" t="n">
        <v>89.11409999999999</v>
      </c>
      <c r="O11" s="49" t="n">
        <v>1.73</v>
      </c>
      <c r="P11" s="50" t="n">
        <v>0.87</v>
      </c>
      <c r="Q11" s="45" t="n">
        <v>77</v>
      </c>
      <c r="R11" s="43" t="inlineStr">
        <is>
          <t>Strong Buy</t>
        </is>
      </c>
    </row>
    <row r="12" ht="16" customHeight="1">
      <c r="A12" s="26" t="n">
        <v>7</v>
      </c>
      <c r="B12" s="24" t="inlineStr">
        <is>
          <t>Mahindra Manulife Mid Cap Fund-Reg(G)</t>
        </is>
      </c>
      <c r="C12" s="24" t="inlineStr">
        <is>
          <t>Mahindra Manulife Investment Management Private Limited</t>
        </is>
      </c>
      <c r="D12" s="37" t="n">
        <v>4440.1192</v>
      </c>
      <c r="E12" s="38" t="n">
        <v>8.169862999999999</v>
      </c>
      <c r="F12" s="24" t="inlineStr">
        <is>
          <t>NIFTY 50 - TRI</t>
        </is>
      </c>
      <c r="G12" s="40" t="n">
        <v>5.735</v>
      </c>
      <c r="H12" s="40" t="n">
        <v>10.9975</v>
      </c>
      <c r="I12" s="40" t="n">
        <v>8.278200000000002</v>
      </c>
      <c r="J12" s="41" t="n">
        <v>0.365331307674994</v>
      </c>
      <c r="K12" s="41" t="n">
        <v>0.684187742370595</v>
      </c>
      <c r="L12" s="41" t="n">
        <v>4.443</v>
      </c>
      <c r="M12" s="38" t="n">
        <v>98.4571</v>
      </c>
      <c r="N12" s="38" t="n">
        <v>92.5428</v>
      </c>
      <c r="O12" s="41" t="n">
        <v>1.87</v>
      </c>
      <c r="P12" s="42" t="n">
        <v>1.29</v>
      </c>
      <c r="Q12" s="38" t="n">
        <v>75.2</v>
      </c>
      <c r="R12" s="43" t="inlineStr">
        <is>
          <t>Strong Buy</t>
        </is>
      </c>
    </row>
    <row r="13" ht="16" customHeight="1">
      <c r="A13" s="22" t="n">
        <v>8</v>
      </c>
      <c r="B13" s="20" t="inlineStr">
        <is>
          <t>Baroda BNP Paribas Mid Cap Fund-Reg(G)</t>
        </is>
      </c>
      <c r="C13" s="20" t="inlineStr">
        <is>
          <t>Baroda BNP Paribas Asset Management India Pvt. Ltd.</t>
        </is>
      </c>
      <c r="D13" s="44" t="n">
        <v>2340.6015</v>
      </c>
      <c r="E13" s="45" t="n">
        <v>19.926027</v>
      </c>
      <c r="F13" s="20" t="inlineStr">
        <is>
          <t>NIFTY 50 - TRI</t>
        </is>
      </c>
      <c r="G13" s="47" t="n">
        <v>7.6665</v>
      </c>
      <c r="H13" s="47" t="n">
        <v>8.027099999999999</v>
      </c>
      <c r="I13" s="47" t="n">
        <v>5.721</v>
      </c>
      <c r="J13" s="49" t="n">
        <v>0.348964772265148</v>
      </c>
      <c r="K13" s="49" t="n">
        <v>0.631278219688262</v>
      </c>
      <c r="L13" s="49" t="n">
        <v>3.9344</v>
      </c>
      <c r="M13" s="45" t="n">
        <v>86.9562</v>
      </c>
      <c r="N13" s="45" t="n">
        <v>83.29810000000001</v>
      </c>
      <c r="O13" s="49" t="n">
        <v>1.97</v>
      </c>
      <c r="P13" s="50" t="n">
        <v>1.44</v>
      </c>
      <c r="Q13" s="45" t="n">
        <v>62.2</v>
      </c>
      <c r="R13" s="51" t="inlineStr">
        <is>
          <t>Buy</t>
        </is>
      </c>
    </row>
    <row r="14" ht="16" customHeight="1">
      <c r="A14" s="26" t="n">
        <v>9</v>
      </c>
      <c r="B14" s="24" t="inlineStr">
        <is>
          <t>HSBC Midcap Fund-Reg(G)</t>
        </is>
      </c>
      <c r="C14" s="24" t="inlineStr">
        <is>
          <t>HSBC Global Asset Management (India) Private Limited</t>
        </is>
      </c>
      <c r="D14" s="37" t="n">
        <v>12447.6985</v>
      </c>
      <c r="E14" s="38" t="n">
        <v>21.654794</v>
      </c>
      <c r="F14" s="24" t="inlineStr">
        <is>
          <t>NIFTY 50 - TRI</t>
        </is>
      </c>
      <c r="G14" s="40" t="n">
        <v>11.451</v>
      </c>
      <c r="H14" s="40" t="n">
        <v>11.2751</v>
      </c>
      <c r="I14" s="40" t="n">
        <v>6.1334</v>
      </c>
      <c r="J14" s="41" t="n">
        <v>0.331336404618792</v>
      </c>
      <c r="K14" s="41" t="n">
        <v>0.545443804315985</v>
      </c>
      <c r="L14" s="41" t="n">
        <v>5.0576</v>
      </c>
      <c r="M14" s="38" t="n">
        <v>103.5628</v>
      </c>
      <c r="N14" s="38" t="n">
        <v>103.3126</v>
      </c>
      <c r="O14" s="41" t="n">
        <v>1.72</v>
      </c>
      <c r="P14" s="42" t="n">
        <v>1.07</v>
      </c>
      <c r="Q14" s="38" t="n">
        <v>61.8</v>
      </c>
      <c r="R14" s="51" t="inlineStr">
        <is>
          <t>Buy</t>
        </is>
      </c>
    </row>
    <row r="15" ht="16" customHeight="1">
      <c r="A15" s="22" t="n">
        <v>10</v>
      </c>
      <c r="B15" s="20" t="inlineStr">
        <is>
          <t>Tata Mid Cap Fund-Reg(G)</t>
        </is>
      </c>
      <c r="C15" s="20" t="inlineStr">
        <is>
          <t>Tata Asset Management Private Limited</t>
        </is>
      </c>
      <c r="D15" s="44" t="n">
        <v>5505.2758745859</v>
      </c>
      <c r="E15" s="45" t="n">
        <v>31.769863</v>
      </c>
      <c r="F15" s="20" t="inlineStr">
        <is>
          <t>NIFTY 50 - TRI</t>
        </is>
      </c>
      <c r="G15" s="47" t="n">
        <v>5.8949</v>
      </c>
      <c r="H15" s="47" t="n">
        <v>8.0406</v>
      </c>
      <c r="I15" s="47" t="n">
        <v>5.452999999999999</v>
      </c>
      <c r="J15" s="49" t="n">
        <v>0.336867871059157</v>
      </c>
      <c r="K15" s="49" t="n">
        <v>0.636531459170013</v>
      </c>
      <c r="L15" s="49" t="n">
        <v>4.2345</v>
      </c>
      <c r="M15" s="45" t="n">
        <v>89.9872</v>
      </c>
      <c r="N15" s="45" t="n">
        <v>87.31829999999999</v>
      </c>
      <c r="O15" s="49" t="n">
        <v>1.83</v>
      </c>
      <c r="P15" s="50" t="n">
        <v>1.19</v>
      </c>
      <c r="Q15" s="45" t="n">
        <v>61.5</v>
      </c>
      <c r="R15" s="51" t="inlineStr">
        <is>
          <t>Buy</t>
        </is>
      </c>
    </row>
    <row r="16" ht="16" customHeight="1">
      <c r="A16" s="26" t="n">
        <v>11</v>
      </c>
      <c r="B16" s="24" t="inlineStr">
        <is>
          <t>ITI Mid Cap Fund-Reg(G)</t>
        </is>
      </c>
      <c r="C16" s="24" t="inlineStr">
        <is>
          <t>ITI Asset Management Limited</t>
        </is>
      </c>
      <c r="D16" s="37" t="n">
        <v>1325.0691</v>
      </c>
      <c r="E16" s="38" t="n">
        <v>5.073972</v>
      </c>
      <c r="F16" s="24" t="inlineStr">
        <is>
          <t>NIFTY 50 - TRI</t>
        </is>
      </c>
      <c r="G16" s="40" t="n">
        <v>3.9071</v>
      </c>
      <c r="H16" s="40" t="n">
        <v>9.9048</v>
      </c>
      <c r="I16" s="40" t="n">
        <v>4.224299999999999</v>
      </c>
      <c r="J16" s="41" t="n">
        <v>0.336874709584759</v>
      </c>
      <c r="K16" s="41" t="n">
        <v>0.622110539043607</v>
      </c>
      <c r="L16" s="41" t="n">
        <v>4.7346</v>
      </c>
      <c r="M16" s="38" t="n">
        <v>99.7248</v>
      </c>
      <c r="N16" s="38" t="n">
        <v>99.099</v>
      </c>
      <c r="O16" s="41" t="n">
        <v>1.99</v>
      </c>
      <c r="P16" s="42" t="n">
        <v>1.71</v>
      </c>
      <c r="Q16" s="38" t="n">
        <v>59.8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Nippon India Growth Mid Cap Fund(G)</t>
        </is>
      </c>
      <c r="C17" s="20" t="inlineStr">
        <is>
          <t>Nippon Life India Asset Management Limited</t>
        </is>
      </c>
      <c r="D17" s="44" t="n">
        <v>43982.5075</v>
      </c>
      <c r="E17" s="45" t="n">
        <v>30.49863</v>
      </c>
      <c r="F17" s="20" t="inlineStr">
        <is>
          <t>BSE SENSEX - TRI</t>
        </is>
      </c>
      <c r="G17" s="46" t="n">
        <v>-1.639899999999999</v>
      </c>
      <c r="H17" s="47" t="n">
        <v>5.931600000000003</v>
      </c>
      <c r="I17" s="48" t="n">
        <v>0.09830000000000183</v>
      </c>
      <c r="J17" s="49" t="n">
        <v>0.381975017104014</v>
      </c>
      <c r="K17" s="49" t="n">
        <v>0.731268801757647</v>
      </c>
      <c r="L17" s="49" t="n">
        <v>4.5311</v>
      </c>
      <c r="M17" s="45" t="n">
        <v>100.1587</v>
      </c>
      <c r="N17" s="45" t="n">
        <v>88.0575</v>
      </c>
      <c r="O17" s="49" t="n">
        <v>1.52</v>
      </c>
      <c r="P17" s="50" t="n">
        <v>0.8</v>
      </c>
      <c r="Q17" s="45" t="n">
        <v>59.3</v>
      </c>
      <c r="R17" s="52" t="inlineStr">
        <is>
          <t>Hold</t>
        </is>
      </c>
    </row>
    <row r="18" ht="16" customHeight="1">
      <c r="A18" s="26" t="n">
        <v>13</v>
      </c>
      <c r="B18" s="24" t="inlineStr">
        <is>
          <t>Kotak Midcap Fund-Reg(G)</t>
        </is>
      </c>
      <c r="C18" s="24" t="inlineStr">
        <is>
          <t>Kotak Mahindra Asset Management Company Limited</t>
        </is>
      </c>
      <c r="D18" s="37" t="n">
        <v>61694.4013</v>
      </c>
      <c r="E18" s="38" t="n">
        <v>19.016438</v>
      </c>
      <c r="F18" s="24" t="inlineStr">
        <is>
          <t>NIFTY 50 - TRI</t>
        </is>
      </c>
      <c r="G18" s="40" t="n">
        <v>7.1759</v>
      </c>
      <c r="H18" s="40" t="n">
        <v>7.7753</v>
      </c>
      <c r="I18" s="40" t="n">
        <v>6.560300000000002</v>
      </c>
      <c r="J18" s="41" t="n">
        <v>0.315302593010147</v>
      </c>
      <c r="K18" s="41" t="n">
        <v>0.574301614029324</v>
      </c>
      <c r="L18" s="41" t="n">
        <v>4.435</v>
      </c>
      <c r="M18" s="38" t="n">
        <v>88.48009999999999</v>
      </c>
      <c r="N18" s="38" t="n">
        <v>86.8994</v>
      </c>
      <c r="O18" s="41" t="n">
        <v>1.38</v>
      </c>
      <c r="P18" s="42" t="n">
        <v>0.9999999999999999</v>
      </c>
      <c r="Q18" s="38" t="n">
        <v>57.3</v>
      </c>
      <c r="R18" s="52" t="inlineStr">
        <is>
          <t>Hold</t>
        </is>
      </c>
    </row>
    <row r="19" ht="16" customHeight="1">
      <c r="A19" s="22" t="n">
        <v>14</v>
      </c>
      <c r="B19" s="20" t="inlineStr">
        <is>
          <t>JM Midcap Fund-Reg(G)</t>
        </is>
      </c>
      <c r="C19" s="20" t="inlineStr">
        <is>
          <t>JM Financial Asset Management Private Limited</t>
        </is>
      </c>
      <c r="D19" s="44" t="n">
        <v>1133.763066121</v>
      </c>
      <c r="E19" s="45" t="n">
        <v>3.358904</v>
      </c>
      <c r="F19" s="20" t="inlineStr">
        <is>
          <t>NIFTY 50 - TRI</t>
        </is>
      </c>
      <c r="G19" s="48" t="n">
        <v>0.6579000000000002</v>
      </c>
      <c r="H19" s="47" t="n">
        <v>9.1213</v>
      </c>
      <c r="I19" s="50" t="inlineStr">
        <is>
          <t>—</t>
        </is>
      </c>
      <c r="J19" s="49" t="n">
        <v>0.313232062055591</v>
      </c>
      <c r="K19" s="49" t="n">
        <v>0.6146346153846149</v>
      </c>
      <c r="L19" s="49" t="n">
        <v>4.7957</v>
      </c>
      <c r="M19" s="45" t="n">
        <v>96.9225</v>
      </c>
      <c r="N19" s="45" t="n">
        <v>100.1741</v>
      </c>
      <c r="O19" s="49" t="n">
        <v>2.16</v>
      </c>
      <c r="P19" s="50" t="n">
        <v>1.46</v>
      </c>
      <c r="Q19" s="45" t="n">
        <v>52.4</v>
      </c>
      <c r="R19" s="52" t="inlineStr">
        <is>
          <t>Hold</t>
        </is>
      </c>
    </row>
    <row r="20" ht="16" customHeight="1">
      <c r="A20" s="26" t="n">
        <v>15</v>
      </c>
      <c r="B20" s="24" t="inlineStr">
        <is>
          <t>Franklin India Mid Cap Fund(G)</t>
        </is>
      </c>
      <c r="C20" s="24" t="inlineStr">
        <is>
          <t>Franklin Templeton Asset Management (India) Private Limited</t>
        </is>
      </c>
      <c r="D20" s="37" t="n">
        <v>12327.871724385</v>
      </c>
      <c r="E20" s="38" t="n">
        <v>32.350684</v>
      </c>
      <c r="F20" s="24" t="inlineStr">
        <is>
          <t>NIFTY 50 - TRI</t>
        </is>
      </c>
      <c r="G20" s="54" t="n">
        <v>-0.6563999999999997</v>
      </c>
      <c r="H20" s="40" t="n">
        <v>7.321099999999999</v>
      </c>
      <c r="I20" s="40" t="n">
        <v>4.1112</v>
      </c>
      <c r="J20" s="41" t="n">
        <v>0.315399818470615</v>
      </c>
      <c r="K20" s="41" t="n">
        <v>0.587848170860647</v>
      </c>
      <c r="L20" s="41" t="n">
        <v>4.407</v>
      </c>
      <c r="M20" s="38" t="n">
        <v>92.4426</v>
      </c>
      <c r="N20" s="38" t="n">
        <v>93.09650000000001</v>
      </c>
      <c r="O20" s="41" t="n">
        <v>1.77</v>
      </c>
      <c r="P20" s="42" t="n">
        <v>0.78</v>
      </c>
      <c r="Q20" s="38" t="n">
        <v>47.4</v>
      </c>
      <c r="R20" s="52" t="inlineStr">
        <is>
          <t>Hold</t>
        </is>
      </c>
    </row>
    <row r="21" ht="16" customHeight="1">
      <c r="A21" s="22" t="n">
        <v>16</v>
      </c>
      <c r="B21" s="20" t="inlineStr">
        <is>
          <t>Axis Midcap Fund-Reg(G)</t>
        </is>
      </c>
      <c r="C21" s="20" t="inlineStr">
        <is>
          <t>Axis Asset Management Company Ltd.</t>
        </is>
      </c>
      <c r="D21" s="44" t="n">
        <v>31977.117904</v>
      </c>
      <c r="E21" s="45" t="n">
        <v>15.123287</v>
      </c>
      <c r="F21" s="20" t="inlineStr">
        <is>
          <t>NIFTY 50 - TRI</t>
        </is>
      </c>
      <c r="G21" s="47" t="n">
        <v>5.2943</v>
      </c>
      <c r="H21" s="47" t="n">
        <v>6.6241</v>
      </c>
      <c r="I21" s="47" t="n">
        <v>3.74</v>
      </c>
      <c r="J21" s="49" t="n">
        <v>0.30743960090272</v>
      </c>
      <c r="K21" s="49" t="n">
        <v>0.572564261381233</v>
      </c>
      <c r="L21" s="49" t="n">
        <v>4.2095</v>
      </c>
      <c r="M21" s="45" t="n">
        <v>126.789</v>
      </c>
      <c r="N21" s="45" t="n">
        <v>98.9926</v>
      </c>
      <c r="O21" s="49" t="n">
        <v>1.56</v>
      </c>
      <c r="P21" s="50" t="n">
        <v>1.01</v>
      </c>
      <c r="Q21" s="45" t="n">
        <v>40.7</v>
      </c>
      <c r="R21" s="55" t="inlineStr">
        <is>
          <t>Underweight</t>
        </is>
      </c>
    </row>
    <row r="22" ht="16" customHeight="1">
      <c r="A22" s="26" t="n">
        <v>17</v>
      </c>
      <c r="B22" s="24" t="inlineStr">
        <is>
          <t>DSP Midcap Fund-Reg(G)</t>
        </is>
      </c>
      <c r="C22" s="24" t="inlineStr">
        <is>
          <t>DSP Investment Managers Private Limited</t>
        </is>
      </c>
      <c r="D22" s="37" t="n">
        <v>19640.7513</v>
      </c>
      <c r="E22" s="38" t="n">
        <v>19.389041</v>
      </c>
      <c r="F22" s="24" t="inlineStr">
        <is>
          <t>NIFTY 50 - TRI</t>
        </is>
      </c>
      <c r="G22" s="40" t="n">
        <v>5.8154</v>
      </c>
      <c r="H22" s="40" t="n">
        <v>7.1774</v>
      </c>
      <c r="I22" s="39" t="n">
        <v>2.0642</v>
      </c>
      <c r="J22" s="41" t="n">
        <v>0.297508670770831</v>
      </c>
      <c r="K22" s="41" t="n">
        <v>0.559004154447703</v>
      </c>
      <c r="L22" s="41" t="n">
        <v>4.6132</v>
      </c>
      <c r="M22" s="38" t="n">
        <v>91.0313</v>
      </c>
      <c r="N22" s="38" t="n">
        <v>95.80929999999999</v>
      </c>
      <c r="O22" s="41" t="n">
        <v>1.67</v>
      </c>
      <c r="P22" s="42" t="n">
        <v>0.9399999999999999</v>
      </c>
      <c r="Q22" s="38" t="n">
        <v>39.9</v>
      </c>
      <c r="R22" s="55" t="inlineStr">
        <is>
          <t>Underweight</t>
        </is>
      </c>
    </row>
    <row r="23" ht="16" customHeight="1">
      <c r="A23" s="22" t="n">
        <v>18</v>
      </c>
      <c r="B23" s="20" t="inlineStr">
        <is>
          <t>Motilal Oswal Midcap Fund-Reg(G)</t>
        </is>
      </c>
      <c r="C23" s="20" t="inlineStr">
        <is>
          <t>Motilal Oswal Asset Management Company Limited</t>
        </is>
      </c>
      <c r="D23" s="44" t="n">
        <v>33689.2026</v>
      </c>
      <c r="E23" s="45" t="n">
        <v>12.104109</v>
      </c>
      <c r="F23" s="20" t="inlineStr">
        <is>
          <t>NIFTY 50 - TRI</t>
        </is>
      </c>
      <c r="G23" s="53" t="n">
        <v>-8.8446</v>
      </c>
      <c r="H23" s="47" t="n">
        <v>7.4047</v>
      </c>
      <c r="I23" s="47" t="n">
        <v>10.1635</v>
      </c>
      <c r="J23" s="49" t="n">
        <v>0.261501958031624</v>
      </c>
      <c r="K23" s="49" t="n">
        <v>0.467001055617866</v>
      </c>
      <c r="L23" s="49" t="n">
        <v>5.4136</v>
      </c>
      <c r="M23" s="45" t="n">
        <v>94.9464</v>
      </c>
      <c r="N23" s="45" t="n">
        <v>105.2684</v>
      </c>
      <c r="O23" s="49" t="n">
        <v>1.57</v>
      </c>
      <c r="P23" s="50" t="n">
        <v>0.7500000000000001</v>
      </c>
      <c r="Q23" s="45" t="n">
        <v>36</v>
      </c>
      <c r="R23" s="55" t="inlineStr">
        <is>
          <t>Underweight</t>
        </is>
      </c>
    </row>
    <row r="24" ht="16" customHeight="1">
      <c r="A24" s="26" t="n">
        <v>19</v>
      </c>
      <c r="B24" s="24" t="inlineStr">
        <is>
          <t>Aditya Birla SL Midcap Fund(G)</t>
        </is>
      </c>
      <c r="C24" s="24" t="inlineStr">
        <is>
          <t>Aditya Birla Sun Life AMC Limited</t>
        </is>
      </c>
      <c r="D24" s="37" t="n">
        <v>6130.2713</v>
      </c>
      <c r="E24" s="38" t="n">
        <v>23.506849</v>
      </c>
      <c r="F24" s="24" t="inlineStr">
        <is>
          <t>NIFTY 50 - TRI</t>
        </is>
      </c>
      <c r="G24" s="39" t="n">
        <v>1.8372</v>
      </c>
      <c r="H24" s="40" t="n">
        <v>6.819699999999999</v>
      </c>
      <c r="I24" s="40" t="n">
        <v>4.809699999999999</v>
      </c>
      <c r="J24" s="41" t="n">
        <v>0.294753578179854</v>
      </c>
      <c r="K24" s="41" t="n">
        <v>0.552178330522766</v>
      </c>
      <c r="L24" s="41" t="n">
        <v>4.4436</v>
      </c>
      <c r="M24" s="38" t="n">
        <v>89.2486</v>
      </c>
      <c r="N24" s="38" t="n">
        <v>96.02379999999999</v>
      </c>
      <c r="O24" s="41" t="n">
        <v>1.87</v>
      </c>
      <c r="P24" s="42" t="n">
        <v>0.8500000000000001</v>
      </c>
      <c r="Q24" s="38" t="n">
        <v>32.2</v>
      </c>
      <c r="R24" s="55" t="inlineStr">
        <is>
          <t>Underweight</t>
        </is>
      </c>
    </row>
    <row r="25" ht="16" customHeight="1">
      <c r="A25" s="22" t="n">
        <v>20</v>
      </c>
      <c r="B25" s="20" t="inlineStr">
        <is>
          <t>Bandhan Midcap Fund-Reg(G)</t>
        </is>
      </c>
      <c r="C25" s="20" t="inlineStr">
        <is>
          <t>Bandhan AMC Limited</t>
        </is>
      </c>
      <c r="D25" s="44" t="n">
        <v>2008.0203</v>
      </c>
      <c r="E25" s="45" t="n">
        <v>3.619178</v>
      </c>
      <c r="F25" s="20" t="inlineStr">
        <is>
          <t>NIFTY 50 - TRI</t>
        </is>
      </c>
      <c r="G25" s="47" t="n">
        <v>4.8563</v>
      </c>
      <c r="H25" s="47" t="n">
        <v>7.006199999999998</v>
      </c>
      <c r="I25" s="50" t="inlineStr">
        <is>
          <t>—</t>
        </is>
      </c>
      <c r="J25" s="49" t="n">
        <v>0.28312609583531</v>
      </c>
      <c r="K25" s="49" t="n">
        <v>0.503140395894428</v>
      </c>
      <c r="L25" s="49" t="n">
        <v>4.8479</v>
      </c>
      <c r="M25" s="45" t="n">
        <v>135.8628</v>
      </c>
      <c r="N25" s="45" t="n">
        <v>113.8693</v>
      </c>
      <c r="O25" s="49" t="n">
        <v>2.05</v>
      </c>
      <c r="P25" s="50" t="n">
        <v>1.4</v>
      </c>
      <c r="Q25" s="45" t="n">
        <v>30.4</v>
      </c>
      <c r="R25" s="55" t="inlineStr">
        <is>
          <t>Underweight</t>
        </is>
      </c>
    </row>
    <row r="26" ht="16" customHeight="1">
      <c r="A26" s="26" t="n">
        <v>21</v>
      </c>
      <c r="B26" s="24" t="inlineStr">
        <is>
          <t>Union Midcap Fund-Reg(G)</t>
        </is>
      </c>
      <c r="C26" s="24" t="inlineStr">
        <is>
          <t>Union Asset Management Company Pvt. Ltd.</t>
        </is>
      </c>
      <c r="D26" s="37" t="n">
        <v>1652.4228</v>
      </c>
      <c r="E26" s="38" t="n">
        <v>6.024657</v>
      </c>
      <c r="F26" s="24" t="inlineStr">
        <is>
          <t>BSE SENSEX - TRI</t>
        </is>
      </c>
      <c r="G26" s="54" t="n">
        <v>-1.6696</v>
      </c>
      <c r="H26" s="39" t="n">
        <v>1.5379</v>
      </c>
      <c r="I26" s="56" t="n">
        <v>-3.814</v>
      </c>
      <c r="J26" s="41" t="n">
        <v>0.309055481874447</v>
      </c>
      <c r="K26" s="41" t="n">
        <v>0.5568389820383129</v>
      </c>
      <c r="L26" s="41" t="n">
        <v>4.524</v>
      </c>
      <c r="M26" s="38" t="n">
        <v>95.9922</v>
      </c>
      <c r="N26" s="38" t="n">
        <v>94.38420000000001</v>
      </c>
      <c r="O26" s="41" t="n">
        <v>2.08</v>
      </c>
      <c r="P26" s="42" t="n">
        <v>1.3</v>
      </c>
      <c r="Q26" s="38" t="n">
        <v>27</v>
      </c>
      <c r="R26" s="57" t="inlineStr">
        <is>
          <t>Avoid</t>
        </is>
      </c>
    </row>
    <row r="27" ht="16" customHeight="1">
      <c r="A27" s="22" t="n">
        <v>22</v>
      </c>
      <c r="B27" s="20" t="inlineStr">
        <is>
          <t>Mirae Asset Midcap Fund-Reg(G)</t>
        </is>
      </c>
      <c r="C27" s="20" t="inlineStr">
        <is>
          <t>Mirae Asset Investment Managers (India) Private Limited</t>
        </is>
      </c>
      <c r="D27" s="44" t="n">
        <v>18070.3025</v>
      </c>
      <c r="E27" s="45" t="n">
        <v>6.676712</v>
      </c>
      <c r="F27" s="20" t="inlineStr">
        <is>
          <t>BSE SENSEX - TRI</t>
        </is>
      </c>
      <c r="G27" s="48" t="n">
        <v>0.4816000000000003</v>
      </c>
      <c r="H27" s="48" t="n">
        <v>0.8795999999999999</v>
      </c>
      <c r="I27" s="53" t="n">
        <v>-4.0383</v>
      </c>
      <c r="J27" s="49" t="n">
        <v>0.303879114829902</v>
      </c>
      <c r="K27" s="49" t="n">
        <v>0.550990937038368</v>
      </c>
      <c r="L27" s="49" t="n">
        <v>4.5415</v>
      </c>
      <c r="M27" s="45" t="n">
        <v>93.92959999999999</v>
      </c>
      <c r="N27" s="45" t="n">
        <v>102.0773</v>
      </c>
      <c r="O27" s="49" t="n">
        <v>1.65</v>
      </c>
      <c r="P27" s="50" t="n">
        <v>1.09</v>
      </c>
      <c r="Q27" s="45" t="n">
        <v>26.8</v>
      </c>
      <c r="R27" s="57" t="inlineStr">
        <is>
          <t>Avoid</t>
        </is>
      </c>
    </row>
    <row r="28" ht="16" customHeight="1">
      <c r="A28" s="26" t="n">
        <v>23</v>
      </c>
      <c r="B28" s="24" t="inlineStr">
        <is>
          <t>Canara Rob Mid Cap Fund-Reg(G)</t>
        </is>
      </c>
      <c r="C28" s="24" t="inlineStr">
        <is>
          <t>Canara Robeco Asset Management Company Limited</t>
        </is>
      </c>
      <c r="D28" s="37" t="n">
        <v>4198.9201</v>
      </c>
      <c r="E28" s="38" t="n">
        <v>3.328767</v>
      </c>
      <c r="F28" s="24" t="inlineStr">
        <is>
          <t>BSE SENSEX - TRI</t>
        </is>
      </c>
      <c r="G28" s="54" t="n">
        <v>-1.8526</v>
      </c>
      <c r="H28" s="39" t="n">
        <v>0.06730000000000302</v>
      </c>
      <c r="I28" s="42" t="inlineStr">
        <is>
          <t>—</t>
        </is>
      </c>
      <c r="J28" s="41" t="n">
        <v>0.297963561039713</v>
      </c>
      <c r="K28" s="41" t="n">
        <v>0.557193968928319</v>
      </c>
      <c r="L28" s="41" t="n">
        <v>4.4897</v>
      </c>
      <c r="M28" s="38" t="n">
        <v>92.23090000000001</v>
      </c>
      <c r="N28" s="38" t="n">
        <v>90.41889999999999</v>
      </c>
      <c r="O28" s="41" t="n">
        <v>1.88</v>
      </c>
      <c r="P28" s="42" t="n">
        <v>1.26</v>
      </c>
      <c r="Q28" s="38" t="n">
        <v>24.6</v>
      </c>
      <c r="R28" s="57" t="inlineStr">
        <is>
          <t>Avoid</t>
        </is>
      </c>
    </row>
    <row r="29" ht="16" customHeight="1">
      <c r="A29" s="22" t="n">
        <v>24</v>
      </c>
      <c r="B29" s="20" t="inlineStr">
        <is>
          <t>Quant Mid Cap Fund(G)</t>
        </is>
      </c>
      <c r="C29" s="20" t="inlineStr">
        <is>
          <t>Quant Money Managers Limited</t>
        </is>
      </c>
      <c r="D29" s="44" t="n">
        <v>7341.3895</v>
      </c>
      <c r="E29" s="45" t="n">
        <v>25.106849</v>
      </c>
      <c r="F29" s="20" t="inlineStr">
        <is>
          <t>NIFTY 50 - TRI</t>
        </is>
      </c>
      <c r="G29" s="53" t="n">
        <v>-3.7212</v>
      </c>
      <c r="H29" s="47" t="n">
        <v>3.736599999999999</v>
      </c>
      <c r="I29" s="47" t="n">
        <v>7.187899999999999</v>
      </c>
      <c r="J29" s="49" t="n">
        <v>0.208696606743039</v>
      </c>
      <c r="K29" s="49" t="n">
        <v>0.396705508036858</v>
      </c>
      <c r="L29" s="49" t="n">
        <v>4.6003</v>
      </c>
      <c r="M29" s="45" t="n">
        <v>80.58669999999999</v>
      </c>
      <c r="N29" s="45" t="n">
        <v>104.4534</v>
      </c>
      <c r="O29" s="49" t="n">
        <v>1.82</v>
      </c>
      <c r="P29" s="50" t="n">
        <v>1</v>
      </c>
      <c r="Q29" s="45" t="n">
        <v>20.1</v>
      </c>
      <c r="R29" s="57" t="inlineStr">
        <is>
          <t>Avoid</t>
        </is>
      </c>
    </row>
    <row r="30" ht="16" customHeight="1">
      <c r="A30" s="26" t="n">
        <v>25</v>
      </c>
      <c r="B30" s="24" t="inlineStr">
        <is>
          <t>PGIM India Midcap Fund-Reg(G)</t>
        </is>
      </c>
      <c r="C30" s="24" t="inlineStr">
        <is>
          <t>PGIM India Asset Management Private Limited</t>
        </is>
      </c>
      <c r="D30" s="37" t="n">
        <v>10876.5399</v>
      </c>
      <c r="E30" s="38" t="n">
        <v>12.334246</v>
      </c>
      <c r="F30" s="24" t="inlineStr">
        <is>
          <t>NIFTY 50 - TRI</t>
        </is>
      </c>
      <c r="G30" s="39" t="n">
        <v>0.2379000000000002</v>
      </c>
      <c r="H30" s="39" t="n">
        <v>0.1076999999999995</v>
      </c>
      <c r="I30" s="39" t="n">
        <v>2.5816</v>
      </c>
      <c r="J30" s="41" t="n">
        <v>0.196039233888699</v>
      </c>
      <c r="K30" s="41" t="n">
        <v>0.354854072698328</v>
      </c>
      <c r="L30" s="41" t="n">
        <v>4.0934</v>
      </c>
      <c r="M30" s="38" t="n">
        <v>71.8212</v>
      </c>
      <c r="N30" s="38" t="n">
        <v>94.1309</v>
      </c>
      <c r="O30" s="41" t="n">
        <v>1.71</v>
      </c>
      <c r="P30" s="42" t="n">
        <v>1.2</v>
      </c>
      <c r="Q30" s="38" t="n">
        <v>13.6</v>
      </c>
      <c r="R30" s="57" t="inlineStr">
        <is>
          <t>Avoid</t>
        </is>
      </c>
    </row>
    <row r="31" ht="16" customHeight="1">
      <c r="A31" s="22" t="n">
        <v>26</v>
      </c>
      <c r="B31" s="20" t="inlineStr">
        <is>
          <t>SBI Midcap Fund-Reg(G)</t>
        </is>
      </c>
      <c r="C31" s="20" t="inlineStr">
        <is>
          <t>SBI Funds Management Limited</t>
        </is>
      </c>
      <c r="D31" s="44" t="n">
        <v>23154.2336</v>
      </c>
      <c r="E31" s="45" t="n">
        <v>21.019178</v>
      </c>
      <c r="F31" s="20" t="inlineStr">
        <is>
          <t>BSE SENSEX - TRI</t>
        </is>
      </c>
      <c r="G31" s="53" t="n">
        <v>-9.701499999999999</v>
      </c>
      <c r="H31" s="53" t="n">
        <v>-3.228799999999998</v>
      </c>
      <c r="I31" s="53" t="n">
        <v>-5.2372</v>
      </c>
      <c r="J31" s="49" t="n">
        <v>0.261295559973492</v>
      </c>
      <c r="K31" s="49" t="n">
        <v>0.492631907736665</v>
      </c>
      <c r="L31" s="49" t="n">
        <v>3.9234</v>
      </c>
      <c r="M31" s="45" t="n">
        <v>76.6477</v>
      </c>
      <c r="N31" s="45" t="n">
        <v>86.6048</v>
      </c>
      <c r="O31" s="49" t="n">
        <v>1.66</v>
      </c>
      <c r="P31" s="50" t="n">
        <v>0.7999999999999999</v>
      </c>
      <c r="Q31" s="45" t="n">
        <v>11.8</v>
      </c>
      <c r="R31" s="57" t="inlineStr">
        <is>
          <t>Avoid</t>
        </is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Small Cap — Ranked Screener</t>
        </is>
      </c>
    </row>
    <row r="2" ht="15" customHeight="1">
      <c r="A2" s="18" t="inlineStr">
        <is>
          <t>SEBI mandate: Min 65% in companies ranked 251+ by market cap.   |   Data: March 2026   |   Universe: 30   |   Post-gates: 23</t>
        </is>
      </c>
    </row>
    <row r="3" ht="14" customHeight="1">
      <c r="A3" s="36" t="inlineStr">
        <is>
          <t>Gates: AUM ≥ ₹500 Cr  |  Track record ≥ 3Y  |  3Y Alpha &gt; −5%   |   Weights: Alpha 25%  Sharpe 25%  Consistency 25%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Bandhan Small Cap Fund-Reg(G)</t>
        </is>
      </c>
      <c r="C6" s="24" t="inlineStr">
        <is>
          <t>Bandhan AMC Limited</t>
        </is>
      </c>
      <c r="D6" s="37" t="n">
        <v>20474.1236</v>
      </c>
      <c r="E6" s="38" t="n">
        <v>6.09863</v>
      </c>
      <c r="F6" s="24" t="inlineStr">
        <is>
          <t>NIFTY 50 - TRI</t>
        </is>
      </c>
      <c r="G6" s="40" t="n">
        <v>3.7461</v>
      </c>
      <c r="H6" s="40" t="n">
        <v>15.9271</v>
      </c>
      <c r="I6" s="40" t="n">
        <v>10.5559</v>
      </c>
      <c r="J6" s="41" t="n">
        <v>0.374772255948117</v>
      </c>
      <c r="K6" s="41" t="n">
        <v>0.715961462272645</v>
      </c>
      <c r="L6" s="41" t="n">
        <v>5.3042</v>
      </c>
      <c r="M6" s="38" t="n">
        <v>160.7791</v>
      </c>
      <c r="N6" s="38" t="n">
        <v>99.3382</v>
      </c>
      <c r="O6" s="41" t="n">
        <v>1.62</v>
      </c>
      <c r="P6" s="42" t="n">
        <v>1.13</v>
      </c>
      <c r="Q6" s="38" t="n">
        <v>97.09999999999999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Invesco India Smallcap Fund-Reg(G)</t>
        </is>
      </c>
      <c r="C7" s="20" t="inlineStr">
        <is>
          <t>Invesco Asset Management Company Pvt Ltd.</t>
        </is>
      </c>
      <c r="D7" s="44" t="n">
        <v>9716.3977</v>
      </c>
      <c r="E7" s="45" t="n">
        <v>7.421917</v>
      </c>
      <c r="F7" s="20" t="inlineStr">
        <is>
          <t>NIFTY 50 - TRI</t>
        </is>
      </c>
      <c r="G7" s="47" t="n">
        <v>3.8875</v>
      </c>
      <c r="H7" s="47" t="n">
        <v>10.0481</v>
      </c>
      <c r="I7" s="47" t="n">
        <v>9.419799999999999</v>
      </c>
      <c r="J7" s="49" t="n">
        <v>0.308764644270308</v>
      </c>
      <c r="K7" s="49" t="n">
        <v>0.548409067419988</v>
      </c>
      <c r="L7" s="49" t="n">
        <v>5.1556</v>
      </c>
      <c r="M7" s="45" t="n">
        <v>146.2867</v>
      </c>
      <c r="N7" s="45" t="n">
        <v>113.4822</v>
      </c>
      <c r="O7" s="49" t="n">
        <v>1.7</v>
      </c>
      <c r="P7" s="50" t="n">
        <v>1.3</v>
      </c>
      <c r="Q7" s="45" t="n">
        <v>86.8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ITI Small Cap Fund-Reg(G)</t>
        </is>
      </c>
      <c r="C8" s="24" t="inlineStr">
        <is>
          <t>ITI Asset Management Limited</t>
        </is>
      </c>
      <c r="D8" s="37" t="n">
        <v>2712.4985</v>
      </c>
      <c r="E8" s="38" t="n">
        <v>6.120547</v>
      </c>
      <c r="F8" s="24" t="inlineStr">
        <is>
          <t>NIFTY 50 - TRI</t>
        </is>
      </c>
      <c r="G8" s="39" t="n">
        <v>2.0571</v>
      </c>
      <c r="H8" s="40" t="n">
        <v>10.5118</v>
      </c>
      <c r="I8" s="40" t="n">
        <v>5.166500000000001</v>
      </c>
      <c r="J8" s="41" t="n">
        <v>0.309445853163767</v>
      </c>
      <c r="K8" s="41" t="n">
        <v>0.563036164247436</v>
      </c>
      <c r="L8" s="41" t="n">
        <v>5.1268</v>
      </c>
      <c r="M8" s="38" t="n">
        <v>93.923</v>
      </c>
      <c r="N8" s="38" t="n">
        <v>78.55370000000001</v>
      </c>
      <c r="O8" s="41" t="n">
        <v>1.86</v>
      </c>
      <c r="P8" s="42" t="n">
        <v>1.47</v>
      </c>
      <c r="Q8" s="38" t="n">
        <v>85.40000000000001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Mahindra Manulife Small Cap Fund-Reg(G)</t>
        </is>
      </c>
      <c r="C9" s="20" t="inlineStr">
        <is>
          <t>Mahindra Manulife Investment Management Private Limited</t>
        </is>
      </c>
      <c r="D9" s="44" t="n">
        <v>4075.538</v>
      </c>
      <c r="E9" s="45" t="n">
        <v>3.301369</v>
      </c>
      <c r="F9" s="20" t="inlineStr">
        <is>
          <t>NIFTY 50 - TRI</t>
        </is>
      </c>
      <c r="G9" s="47" t="n">
        <v>4.0778</v>
      </c>
      <c r="H9" s="47" t="n">
        <v>10.2311</v>
      </c>
      <c r="I9" s="50" t="inlineStr">
        <is>
          <t>—</t>
        </is>
      </c>
      <c r="J9" s="49" t="n">
        <v>0.304930939226519</v>
      </c>
      <c r="K9" s="49" t="n">
        <v>0.551963870695119</v>
      </c>
      <c r="L9" s="49" t="n">
        <v>5.1404</v>
      </c>
      <c r="M9" s="45" t="n">
        <v>145.7323</v>
      </c>
      <c r="N9" s="45" t="n">
        <v>114.9785</v>
      </c>
      <c r="O9" s="49" t="n">
        <v>1.87</v>
      </c>
      <c r="P9" s="50" t="n">
        <v>1.33</v>
      </c>
      <c r="Q9" s="45" t="n">
        <v>83.40000000000001</v>
      </c>
      <c r="R9" s="43" t="inlineStr">
        <is>
          <t>Strong Buy</t>
        </is>
      </c>
    </row>
    <row r="10" ht="16" customHeight="1">
      <c r="A10" s="26" t="n">
        <v>5</v>
      </c>
      <c r="B10" s="24" t="inlineStr">
        <is>
          <t>DSP Small Cap Fund-Reg(G)</t>
        </is>
      </c>
      <c r="C10" s="24" t="inlineStr">
        <is>
          <t>DSP Investment Managers Private Limited</t>
        </is>
      </c>
      <c r="D10" s="37" t="n">
        <v>16885.5373</v>
      </c>
      <c r="E10" s="38" t="n">
        <v>18.808219</v>
      </c>
      <c r="F10" s="24" t="inlineStr">
        <is>
          <t>NIFTY 50 - TRI</t>
        </is>
      </c>
      <c r="G10" s="40" t="n">
        <v>6.625500000000001</v>
      </c>
      <c r="H10" s="40" t="n">
        <v>7.007</v>
      </c>
      <c r="I10" s="40" t="n">
        <v>7.546299999999999</v>
      </c>
      <c r="J10" s="41" t="n">
        <v>0.255744588581341</v>
      </c>
      <c r="K10" s="41" t="n">
        <v>0.472568810535851</v>
      </c>
      <c r="L10" s="41" t="n">
        <v>5.3036</v>
      </c>
      <c r="M10" s="38" t="n">
        <v>138.4129</v>
      </c>
      <c r="N10" s="38" t="n">
        <v>124.2071</v>
      </c>
      <c r="O10" s="41" t="n">
        <v>1.7</v>
      </c>
      <c r="P10" s="42" t="n">
        <v>0.9099999999999999</v>
      </c>
      <c r="Q10" s="38" t="n">
        <v>75.59999999999999</v>
      </c>
      <c r="R10" s="43" t="inlineStr">
        <is>
          <t>Strong Buy</t>
        </is>
      </c>
    </row>
    <row r="11" ht="16" customHeight="1">
      <c r="A11" s="22" t="n">
        <v>6</v>
      </c>
      <c r="B11" s="20" t="inlineStr">
        <is>
          <t>Quant Small Cap Fund(G)</t>
        </is>
      </c>
      <c r="C11" s="20" t="inlineStr">
        <is>
          <t>Quant Money Managers Limited</t>
        </is>
      </c>
      <c r="D11" s="44" t="n">
        <v>27653.6498</v>
      </c>
      <c r="E11" s="45" t="n">
        <v>29.473972</v>
      </c>
      <c r="F11" s="20" t="inlineStr">
        <is>
          <t>NIFTY 50 - TRI</t>
        </is>
      </c>
      <c r="G11" s="46" t="n">
        <v>-0.2797000000000001</v>
      </c>
      <c r="H11" s="47" t="n">
        <v>6.687599999999998</v>
      </c>
      <c r="I11" s="47" t="n">
        <v>11.7643</v>
      </c>
      <c r="J11" s="49" t="n">
        <v>0.249568832707881</v>
      </c>
      <c r="K11" s="49" t="n">
        <v>0.482369536171025</v>
      </c>
      <c r="L11" s="49" t="n">
        <v>5.063</v>
      </c>
      <c r="M11" s="45" t="n">
        <v>88.2978</v>
      </c>
      <c r="N11" s="45" t="n">
        <v>86.5505</v>
      </c>
      <c r="O11" s="49" t="n">
        <v>1.64</v>
      </c>
      <c r="P11" s="50" t="n">
        <v>0.8299999999999998</v>
      </c>
      <c r="Q11" s="45" t="n">
        <v>71.59999999999999</v>
      </c>
      <c r="R11" s="51" t="inlineStr">
        <is>
          <t>Buy</t>
        </is>
      </c>
    </row>
    <row r="12" ht="16" customHeight="1">
      <c r="A12" s="26" t="n">
        <v>7</v>
      </c>
      <c r="B12" s="24" t="inlineStr">
        <is>
          <t>Edelweiss Small Cap Fund-Reg(G)</t>
        </is>
      </c>
      <c r="C12" s="24" t="inlineStr">
        <is>
          <t>Edelweiss Asset Management Limited</t>
        </is>
      </c>
      <c r="D12" s="37" t="n">
        <v>5480.798</v>
      </c>
      <c r="E12" s="38" t="n">
        <v>7.147945</v>
      </c>
      <c r="F12" s="24" t="inlineStr">
        <is>
          <t>NIFTY 50 - TRI</t>
        </is>
      </c>
      <c r="G12" s="39" t="n">
        <v>2.8295</v>
      </c>
      <c r="H12" s="40" t="n">
        <v>6.090200000000001</v>
      </c>
      <c r="I12" s="40" t="n">
        <v>7.073499999999999</v>
      </c>
      <c r="J12" s="41" t="n">
        <v>0.269373748867396</v>
      </c>
      <c r="K12" s="41" t="n">
        <v>0.481421631392634</v>
      </c>
      <c r="L12" s="41" t="n">
        <v>4.7457</v>
      </c>
      <c r="M12" s="38" t="n">
        <v>83.83920000000001</v>
      </c>
      <c r="N12" s="38" t="n">
        <v>76.325</v>
      </c>
      <c r="O12" s="41" t="n">
        <v>1.81</v>
      </c>
      <c r="P12" s="42" t="n">
        <v>1.36</v>
      </c>
      <c r="Q12" s="38" t="n">
        <v>71.09999999999999</v>
      </c>
      <c r="R12" s="51" t="inlineStr">
        <is>
          <t>Buy</t>
        </is>
      </c>
    </row>
    <row r="13" ht="16" customHeight="1">
      <c r="A13" s="22" t="n">
        <v>8</v>
      </c>
      <c r="B13" s="20" t="inlineStr">
        <is>
          <t>Sundaram Small Cap Fund(G)</t>
        </is>
      </c>
      <c r="C13" s="20" t="inlineStr">
        <is>
          <t>Sundaram Asset Management Company Limited</t>
        </is>
      </c>
      <c r="D13" s="44" t="n">
        <v>3306.19170607519</v>
      </c>
      <c r="E13" s="45" t="n">
        <v>21.134246</v>
      </c>
      <c r="F13" s="20" t="inlineStr">
        <is>
          <t>NIFTY 50 - TRI</t>
        </is>
      </c>
      <c r="G13" s="47" t="n">
        <v>4.9215</v>
      </c>
      <c r="H13" s="47" t="n">
        <v>5.782199999999998</v>
      </c>
      <c r="I13" s="47" t="n">
        <v>6.686299999999999</v>
      </c>
      <c r="J13" s="49" t="n">
        <v>0.258555149744339</v>
      </c>
      <c r="K13" s="49" t="n">
        <v>0.446970090558141</v>
      </c>
      <c r="L13" s="49" t="n">
        <v>4.7915</v>
      </c>
      <c r="M13" s="45" t="n">
        <v>84.2073</v>
      </c>
      <c r="N13" s="45" t="n">
        <v>79.5103</v>
      </c>
      <c r="O13" s="49" t="n">
        <v>1.94</v>
      </c>
      <c r="P13" s="50" t="n">
        <v>1.11</v>
      </c>
      <c r="Q13" s="45" t="n">
        <v>65.3</v>
      </c>
      <c r="R13" s="51" t="inlineStr">
        <is>
          <t>Buy</t>
        </is>
      </c>
    </row>
    <row r="14" ht="16" customHeight="1">
      <c r="A14" s="26" t="n">
        <v>9</v>
      </c>
      <c r="B14" s="24" t="inlineStr">
        <is>
          <t>Axis Small Cap Fund-Reg(G)</t>
        </is>
      </c>
      <c r="C14" s="24" t="inlineStr">
        <is>
          <t>Axis Asset Management Company Ltd.</t>
        </is>
      </c>
      <c r="D14" s="37" t="n">
        <v>26007.723204</v>
      </c>
      <c r="E14" s="38" t="n">
        <v>12.342465</v>
      </c>
      <c r="F14" s="24" t="inlineStr">
        <is>
          <t>NIFTY 50 - TRI</t>
        </is>
      </c>
      <c r="G14" s="39" t="n">
        <v>1.2423</v>
      </c>
      <c r="H14" s="40" t="n">
        <v>4.581799999999999</v>
      </c>
      <c r="I14" s="40" t="n">
        <v>6.6112</v>
      </c>
      <c r="J14" s="41" t="n">
        <v>0.254718496818785</v>
      </c>
      <c r="K14" s="41" t="n">
        <v>0.462406830362707</v>
      </c>
      <c r="L14" s="41" t="n">
        <v>4.3694</v>
      </c>
      <c r="M14" s="38" t="n">
        <v>77.7743</v>
      </c>
      <c r="N14" s="38" t="n">
        <v>72.7282</v>
      </c>
      <c r="O14" s="41" t="n">
        <v>1.61</v>
      </c>
      <c r="P14" s="42" t="n">
        <v>1.01</v>
      </c>
      <c r="Q14" s="38" t="n">
        <v>60.4</v>
      </c>
      <c r="R14" s="51" t="inlineStr">
        <is>
          <t>Buy</t>
        </is>
      </c>
    </row>
    <row r="15" ht="16" customHeight="1">
      <c r="A15" s="22" t="n">
        <v>10</v>
      </c>
      <c r="B15" s="20" t="inlineStr">
        <is>
          <t>HDFC Small Cap Fund-Reg(G)</t>
        </is>
      </c>
      <c r="C15" s="20" t="inlineStr">
        <is>
          <t>HDFC Asset Management Company Limited</t>
        </is>
      </c>
      <c r="D15" s="44" t="n">
        <v>37423.9438</v>
      </c>
      <c r="E15" s="45" t="n">
        <v>18.002739</v>
      </c>
      <c r="F15" s="20" t="inlineStr">
        <is>
          <t>NIFTY 50 - TRI</t>
        </is>
      </c>
      <c r="G15" s="48" t="n">
        <v>1.5493</v>
      </c>
      <c r="H15" s="47" t="n">
        <v>3.867799999999999</v>
      </c>
      <c r="I15" s="47" t="n">
        <v>7.782499999999999</v>
      </c>
      <c r="J15" s="49" t="n">
        <v>0.246829263131164</v>
      </c>
      <c r="K15" s="49" t="n">
        <v>0.453028431601025</v>
      </c>
      <c r="L15" s="49" t="n">
        <v>4.7254</v>
      </c>
      <c r="M15" s="45" t="n">
        <v>126.4404</v>
      </c>
      <c r="N15" s="45" t="n">
        <v>117.1255</v>
      </c>
      <c r="O15" s="49" t="n">
        <v>1.55</v>
      </c>
      <c r="P15" s="50" t="n">
        <v>0.8200000000000001</v>
      </c>
      <c r="Q15" s="45" t="n">
        <v>54.9</v>
      </c>
      <c r="R15" s="52" t="inlineStr">
        <is>
          <t>Hold</t>
        </is>
      </c>
    </row>
    <row r="16" ht="16" customHeight="1">
      <c r="A16" s="26" t="n">
        <v>11</v>
      </c>
      <c r="B16" s="24" t="inlineStr">
        <is>
          <t>Bank of India Small Cap Fund-Reg(G)</t>
        </is>
      </c>
      <c r="C16" s="24" t="inlineStr">
        <is>
          <t>Bank of India Investment Managers Private Limited</t>
        </is>
      </c>
      <c r="D16" s="37" t="n">
        <v>1903.7001</v>
      </c>
      <c r="E16" s="38" t="n">
        <v>7.284931</v>
      </c>
      <c r="F16" s="24" t="inlineStr">
        <is>
          <t>NIFTY 50 - TRI</t>
        </is>
      </c>
      <c r="G16" s="39" t="n">
        <v>0.7517</v>
      </c>
      <c r="H16" s="40" t="n">
        <v>6.390600000000001</v>
      </c>
      <c r="I16" s="40" t="n">
        <v>7.408300000000001</v>
      </c>
      <c r="J16" s="41" t="n">
        <v>0.238716983274048</v>
      </c>
      <c r="K16" s="41" t="n">
        <v>0.412579136690648</v>
      </c>
      <c r="L16" s="41" t="n">
        <v>5.2852</v>
      </c>
      <c r="M16" s="38" t="n">
        <v>88.07389999999999</v>
      </c>
      <c r="N16" s="38" t="n">
        <v>87.0187</v>
      </c>
      <c r="O16" s="41" t="n">
        <v>1.95</v>
      </c>
      <c r="P16" s="42" t="n">
        <v>1.44</v>
      </c>
      <c r="Q16" s="38" t="n">
        <v>53.5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Aditya Birla SL Small Cap Fund(G)</t>
        </is>
      </c>
      <c r="C17" s="20" t="inlineStr">
        <is>
          <t>Aditya Birla Sun Life AMC Limited</t>
        </is>
      </c>
      <c r="D17" s="44" t="n">
        <v>4882.1247</v>
      </c>
      <c r="E17" s="45" t="n">
        <v>18.846575</v>
      </c>
      <c r="F17" s="20" t="inlineStr">
        <is>
          <t>NIFTY 50 - TRI</t>
        </is>
      </c>
      <c r="G17" s="47" t="n">
        <v>4.7028</v>
      </c>
      <c r="H17" s="47" t="n">
        <v>5.441899999999999</v>
      </c>
      <c r="I17" s="48" t="n">
        <v>2.5733</v>
      </c>
      <c r="J17" s="49" t="n">
        <v>0.234518298252774</v>
      </c>
      <c r="K17" s="49" t="n">
        <v>0.419491395793499</v>
      </c>
      <c r="L17" s="49" t="n">
        <v>5.1453</v>
      </c>
      <c r="M17" s="45" t="n">
        <v>134.3938</v>
      </c>
      <c r="N17" s="45" t="n">
        <v>131.8608</v>
      </c>
      <c r="O17" s="49" t="n">
        <v>1.9</v>
      </c>
      <c r="P17" s="50" t="n">
        <v>0.9899999999999999</v>
      </c>
      <c r="Q17" s="45" t="n">
        <v>50.4</v>
      </c>
      <c r="R17" s="52" t="inlineStr">
        <is>
          <t>Hold</t>
        </is>
      </c>
    </row>
    <row r="18" ht="16" customHeight="1">
      <c r="A18" s="26" t="n">
        <v>13</v>
      </c>
      <c r="B18" s="24" t="inlineStr">
        <is>
          <t>Nippon India Small Cap Fund(G)</t>
        </is>
      </c>
      <c r="C18" s="24" t="inlineStr">
        <is>
          <t>Nippon Life India Asset Management Limited</t>
        </is>
      </c>
      <c r="D18" s="37" t="n">
        <v>67641.50139999999</v>
      </c>
      <c r="E18" s="38" t="n">
        <v>15.547945</v>
      </c>
      <c r="F18" s="24" t="inlineStr">
        <is>
          <t>BSE SENSEX - TRI</t>
        </is>
      </c>
      <c r="G18" s="56" t="n">
        <v>-6.5336</v>
      </c>
      <c r="H18" s="39" t="n">
        <v>0.9206000000000003</v>
      </c>
      <c r="I18" s="39" t="n">
        <v>0.6779000000000011</v>
      </c>
      <c r="J18" s="41" t="n">
        <v>0.277571193365449</v>
      </c>
      <c r="K18" s="41" t="n">
        <v>0.5059529455353839</v>
      </c>
      <c r="L18" s="41" t="n">
        <v>4.9197</v>
      </c>
      <c r="M18" s="38" t="n">
        <v>87.587</v>
      </c>
      <c r="N18" s="38" t="n">
        <v>78.8353</v>
      </c>
      <c r="O18" s="41" t="n">
        <v>1.4</v>
      </c>
      <c r="P18" s="42" t="n">
        <v>0.7499999999999999</v>
      </c>
      <c r="Q18" s="38" t="n">
        <v>48.8</v>
      </c>
      <c r="R18" s="52" t="inlineStr">
        <is>
          <t>Hold</t>
        </is>
      </c>
    </row>
    <row r="19" ht="16" customHeight="1">
      <c r="A19" s="22" t="n">
        <v>14</v>
      </c>
      <c r="B19" s="20" t="inlineStr">
        <is>
          <t>Franklin India Small Cap Fund(G)</t>
        </is>
      </c>
      <c r="C19" s="20" t="inlineStr">
        <is>
          <t>Franklin Templeton Asset Management (India) Private Limited</t>
        </is>
      </c>
      <c r="D19" s="44" t="n">
        <v>12934.427806987</v>
      </c>
      <c r="E19" s="45" t="n">
        <v>20.224657</v>
      </c>
      <c r="F19" s="20" t="inlineStr">
        <is>
          <t>NIFTY 50 - TRI</t>
        </is>
      </c>
      <c r="G19" s="46" t="n">
        <v>-0.4863999999999997</v>
      </c>
      <c r="H19" s="47" t="n">
        <v>4.367099999999999</v>
      </c>
      <c r="I19" s="47" t="n">
        <v>6.813200000000002</v>
      </c>
      <c r="J19" s="49" t="n">
        <v>0.231415790517754</v>
      </c>
      <c r="K19" s="49" t="n">
        <v>0.415992226224013</v>
      </c>
      <c r="L19" s="49" t="n">
        <v>5.041</v>
      </c>
      <c r="M19" s="45" t="n">
        <v>85.0133</v>
      </c>
      <c r="N19" s="45" t="n">
        <v>85.98269999999999</v>
      </c>
      <c r="O19" s="49" t="n">
        <v>1.75</v>
      </c>
      <c r="P19" s="50" t="n">
        <v>0.8100000000000001</v>
      </c>
      <c r="Q19" s="45" t="n">
        <v>45.3</v>
      </c>
      <c r="R19" s="52" t="inlineStr">
        <is>
          <t>Hold</t>
        </is>
      </c>
    </row>
    <row r="20" ht="16" customHeight="1">
      <c r="A20" s="26" t="n">
        <v>15</v>
      </c>
      <c r="B20" s="24" t="inlineStr">
        <is>
          <t>Union Small Cap Fund-Reg(G)</t>
        </is>
      </c>
      <c r="C20" s="24" t="inlineStr">
        <is>
          <t>Union Asset Management Company Pvt. Ltd.</t>
        </is>
      </c>
      <c r="D20" s="37" t="n">
        <v>1787.2467</v>
      </c>
      <c r="E20" s="38" t="n">
        <v>11.813698</v>
      </c>
      <c r="F20" s="24" t="inlineStr">
        <is>
          <t>BSE SENSEX - TRI</t>
        </is>
      </c>
      <c r="G20" s="39" t="n">
        <v>1.3929</v>
      </c>
      <c r="H20" s="39" t="n">
        <v>1.093100000000003</v>
      </c>
      <c r="I20" s="54" t="n">
        <v>-2.850099999999998</v>
      </c>
      <c r="J20" s="41" t="n">
        <v>0.257518993671982</v>
      </c>
      <c r="K20" s="41" t="n">
        <v>0.435928434213525</v>
      </c>
      <c r="L20" s="41" t="n">
        <v>5.1991</v>
      </c>
      <c r="M20" s="38" t="n">
        <v>92.9688</v>
      </c>
      <c r="N20" s="38" t="n">
        <v>80.7384</v>
      </c>
      <c r="O20" s="41" t="n">
        <v>2.1</v>
      </c>
      <c r="P20" s="42" t="n">
        <v>1.07</v>
      </c>
      <c r="Q20" s="38" t="n">
        <v>39.2</v>
      </c>
      <c r="R20" s="55" t="inlineStr">
        <is>
          <t>Underweight</t>
        </is>
      </c>
    </row>
    <row r="21" ht="16" customHeight="1">
      <c r="A21" s="22" t="n">
        <v>16</v>
      </c>
      <c r="B21" s="20" t="inlineStr">
        <is>
          <t>ICICI Pru Smallcap Fund(G)</t>
        </is>
      </c>
      <c r="C21" s="20" t="inlineStr">
        <is>
          <t>ICICI Prudential Asset Management Company Limited</t>
        </is>
      </c>
      <c r="D21" s="44" t="n">
        <v>8354.8257141749</v>
      </c>
      <c r="E21" s="45" t="n">
        <v>18.463013</v>
      </c>
      <c r="F21" s="20" t="inlineStr">
        <is>
          <t>NIFTY 50 - TRI</t>
        </is>
      </c>
      <c r="G21" s="48" t="n">
        <v>0.7246999999999999</v>
      </c>
      <c r="H21" s="48" t="n">
        <v>2.107799999999999</v>
      </c>
      <c r="I21" s="47" t="n">
        <v>5.5565</v>
      </c>
      <c r="J21" s="49" t="n">
        <v>0.229542713339984</v>
      </c>
      <c r="K21" s="49" t="n">
        <v>0.430013590995965</v>
      </c>
      <c r="L21" s="49" t="n">
        <v>4.4108</v>
      </c>
      <c r="M21" s="45" t="n">
        <v>73.9151</v>
      </c>
      <c r="N21" s="45" t="n">
        <v>72.0176</v>
      </c>
      <c r="O21" s="49" t="n">
        <v>1.8</v>
      </c>
      <c r="P21" s="50" t="n">
        <v>1.01</v>
      </c>
      <c r="Q21" s="45" t="n">
        <v>38</v>
      </c>
      <c r="R21" s="55" t="inlineStr">
        <is>
          <t>Underweight</t>
        </is>
      </c>
    </row>
    <row r="22" ht="16" customHeight="1">
      <c r="A22" s="26" t="n">
        <v>16</v>
      </c>
      <c r="B22" s="24" t="inlineStr">
        <is>
          <t>UTI Small Cap Fund-Reg(G)</t>
        </is>
      </c>
      <c r="C22" s="24" t="inlineStr">
        <is>
          <t>UTI Asset Management Company Private Limited</t>
        </is>
      </c>
      <c r="D22" s="37" t="n">
        <v>4546.6346</v>
      </c>
      <c r="E22" s="38" t="n">
        <v>5.273972</v>
      </c>
      <c r="F22" s="24" t="inlineStr">
        <is>
          <t>NIFTY 50 - TRI</t>
        </is>
      </c>
      <c r="G22" s="54" t="n">
        <v>-0.2816000000000001</v>
      </c>
      <c r="H22" s="40" t="n">
        <v>4.138399999999999</v>
      </c>
      <c r="I22" s="40" t="n">
        <v>5.123200000000001</v>
      </c>
      <c r="J22" s="41" t="n">
        <v>0.224675635456885</v>
      </c>
      <c r="K22" s="41" t="n">
        <v>0.415773667758261</v>
      </c>
      <c r="L22" s="41" t="n">
        <v>4.9728</v>
      </c>
      <c r="M22" s="38" t="n">
        <v>82.7518</v>
      </c>
      <c r="N22" s="38" t="n">
        <v>84.3288</v>
      </c>
      <c r="O22" s="41" t="n">
        <v>1.86</v>
      </c>
      <c r="P22" s="42" t="n">
        <v>1.21</v>
      </c>
      <c r="Q22" s="38" t="n">
        <v>38</v>
      </c>
      <c r="R22" s="55" t="inlineStr">
        <is>
          <t>Underweight</t>
        </is>
      </c>
    </row>
    <row r="23" ht="16" customHeight="1">
      <c r="A23" s="22" t="n">
        <v>18</v>
      </c>
      <c r="B23" s="20" t="inlineStr">
        <is>
          <t>HSBC Small Cap Fund-Reg(G)</t>
        </is>
      </c>
      <c r="C23" s="20" t="inlineStr">
        <is>
          <t>HSBC Global Asset Management (India) Private Limited</t>
        </is>
      </c>
      <c r="D23" s="44" t="n">
        <v>15374.9245</v>
      </c>
      <c r="E23" s="45" t="n">
        <v>11.89315</v>
      </c>
      <c r="F23" s="20" t="inlineStr">
        <is>
          <t>NIFTY 50 - TRI</t>
        </is>
      </c>
      <c r="G23" s="46" t="n">
        <v>-2.3841</v>
      </c>
      <c r="H23" s="48" t="n">
        <v>2.8955</v>
      </c>
      <c r="I23" s="47" t="n">
        <v>7.950099999999999</v>
      </c>
      <c r="J23" s="49" t="n">
        <v>0.197221170990866</v>
      </c>
      <c r="K23" s="49" t="n">
        <v>0.33572862142658</v>
      </c>
      <c r="L23" s="49" t="n">
        <v>5.4962</v>
      </c>
      <c r="M23" s="45" t="n">
        <v>88.30029999999999</v>
      </c>
      <c r="N23" s="45" t="n">
        <v>98.5407</v>
      </c>
      <c r="O23" s="49" t="n">
        <v>1.7</v>
      </c>
      <c r="P23" s="50" t="n">
        <v>1</v>
      </c>
      <c r="Q23" s="45" t="n">
        <v>31</v>
      </c>
      <c r="R23" s="55" t="inlineStr">
        <is>
          <t>Underweight</t>
        </is>
      </c>
    </row>
    <row r="24" ht="16" customHeight="1">
      <c r="A24" s="26" t="n">
        <v>19</v>
      </c>
      <c r="B24" s="24" t="inlineStr">
        <is>
          <t>LIC MF Small Cap Fund-Reg(G)</t>
        </is>
      </c>
      <c r="C24" s="24" t="inlineStr">
        <is>
          <t>LIC Mutual Fund Asset Management Limited</t>
        </is>
      </c>
      <c r="D24" s="37" t="n">
        <v>605.8872</v>
      </c>
      <c r="E24" s="38" t="n">
        <v>8.780821</v>
      </c>
      <c r="F24" s="24" t="inlineStr">
        <is>
          <t>NIFTY 50 - TRI</t>
        </is>
      </c>
      <c r="G24" s="54" t="n">
        <v>-2.4197</v>
      </c>
      <c r="H24" s="40" t="n">
        <v>3.984299999999999</v>
      </c>
      <c r="I24" s="40" t="n">
        <v>6.2804</v>
      </c>
      <c r="J24" s="41" t="n">
        <v>0.206825957638576</v>
      </c>
      <c r="K24" s="41" t="n">
        <v>0.354027276373847</v>
      </c>
      <c r="L24" s="41" t="n">
        <v>5.5475</v>
      </c>
      <c r="M24" s="38" t="n">
        <v>87.8899</v>
      </c>
      <c r="N24" s="38" t="n">
        <v>94.2109</v>
      </c>
      <c r="O24" s="41" t="n">
        <v>2.39</v>
      </c>
      <c r="P24" s="42" t="n">
        <v>1.36</v>
      </c>
      <c r="Q24" s="38" t="n">
        <v>30.3</v>
      </c>
      <c r="R24" s="55" t="inlineStr">
        <is>
          <t>Underweight</t>
        </is>
      </c>
    </row>
    <row r="25" ht="16" customHeight="1">
      <c r="A25" s="22" t="n">
        <v>20</v>
      </c>
      <c r="B25" s="20" t="inlineStr">
        <is>
          <t>PGIM India Small Cap Fund-Reg(G)</t>
        </is>
      </c>
      <c r="C25" s="20" t="inlineStr">
        <is>
          <t>PGIM India Asset Management Private Limited</t>
        </is>
      </c>
      <c r="D25" s="44" t="n">
        <v>1488.7365</v>
      </c>
      <c r="E25" s="45" t="n">
        <v>4.673972</v>
      </c>
      <c r="F25" s="20" t="inlineStr">
        <is>
          <t>NIFTY 50 - TRI</t>
        </is>
      </c>
      <c r="G25" s="47" t="n">
        <v>3.6891</v>
      </c>
      <c r="H25" s="48" t="n">
        <v>1.595499999999999</v>
      </c>
      <c r="I25" s="50" t="inlineStr">
        <is>
          <t>—</t>
        </is>
      </c>
      <c r="J25" s="49" t="n">
        <v>0.19395103874228</v>
      </c>
      <c r="K25" s="49" t="n">
        <v>0.345274879053217</v>
      </c>
      <c r="L25" s="49" t="n">
        <v>4.4525</v>
      </c>
      <c r="M25" s="45" t="n">
        <v>71.1146</v>
      </c>
      <c r="N25" s="45" t="n">
        <v>75.5579</v>
      </c>
      <c r="O25" s="49" t="n">
        <v>2.08</v>
      </c>
      <c r="P25" s="50" t="n">
        <v>1.5</v>
      </c>
      <c r="Q25" s="45" t="n">
        <v>26.4</v>
      </c>
      <c r="R25" s="57" t="inlineStr">
        <is>
          <t>Avoid</t>
        </is>
      </c>
    </row>
    <row r="26" ht="16" customHeight="1">
      <c r="A26" s="26" t="n">
        <v>21</v>
      </c>
      <c r="B26" s="24" t="inlineStr">
        <is>
          <t>Kotak Small Cap Fund(G)</t>
        </is>
      </c>
      <c r="C26" s="24" t="inlineStr">
        <is>
          <t>Kotak Mahindra Asset Management Company Limited</t>
        </is>
      </c>
      <c r="D26" s="37" t="n">
        <v>16870.6115</v>
      </c>
      <c r="E26" s="38" t="n">
        <v>21.109589</v>
      </c>
      <c r="F26" s="24" t="inlineStr">
        <is>
          <t>NIFTY 50 - TRI</t>
        </is>
      </c>
      <c r="G26" s="56" t="n">
        <v>-3.6917</v>
      </c>
      <c r="H26" s="39" t="n">
        <v>1.371499999999999</v>
      </c>
      <c r="I26" s="40" t="n">
        <v>3.1013</v>
      </c>
      <c r="J26" s="41" t="n">
        <v>0.189653718452733</v>
      </c>
      <c r="K26" s="41" t="n">
        <v>0.334134936300018</v>
      </c>
      <c r="L26" s="41" t="n">
        <v>4.9093</v>
      </c>
      <c r="M26" s="38" t="n">
        <v>76.756</v>
      </c>
      <c r="N26" s="38" t="n">
        <v>84.0808</v>
      </c>
      <c r="O26" s="41" t="n">
        <v>1.66</v>
      </c>
      <c r="P26" s="42" t="n">
        <v>1.11</v>
      </c>
      <c r="Q26" s="38" t="n">
        <v>18.5</v>
      </c>
      <c r="R26" s="57" t="inlineStr">
        <is>
          <t>Avoid</t>
        </is>
      </c>
    </row>
    <row r="27" ht="16" customHeight="1">
      <c r="A27" s="22" t="n">
        <v>22</v>
      </c>
      <c r="B27" s="20" t="inlineStr">
        <is>
          <t>Canara Rob Small Cap Fund-Reg(G)</t>
        </is>
      </c>
      <c r="C27" s="20" t="inlineStr">
        <is>
          <t>Canara Robeco Asset Management Company Limited</t>
        </is>
      </c>
      <c r="D27" s="44" t="n">
        <v>12768.6171</v>
      </c>
      <c r="E27" s="45" t="n">
        <v>7.126027</v>
      </c>
      <c r="F27" s="20" t="inlineStr">
        <is>
          <t>BSE SENSEX - TRI</t>
        </is>
      </c>
      <c r="G27" s="53" t="n">
        <v>-6.8781</v>
      </c>
      <c r="H27" s="53" t="n">
        <v>-3.952699999999998</v>
      </c>
      <c r="I27" s="46" t="n">
        <v>-2.535499999999999</v>
      </c>
      <c r="J27" s="49" t="n">
        <v>0.210764831268598</v>
      </c>
      <c r="K27" s="49" t="n">
        <v>0.362479401836594</v>
      </c>
      <c r="L27" s="49" t="n">
        <v>4.7383</v>
      </c>
      <c r="M27" s="45" t="n">
        <v>78.158</v>
      </c>
      <c r="N27" s="45" t="n">
        <v>81.9171</v>
      </c>
      <c r="O27" s="49" t="n">
        <v>1.7</v>
      </c>
      <c r="P27" s="50" t="n">
        <v>1.15</v>
      </c>
      <c r="Q27" s="45" t="n">
        <v>17.9</v>
      </c>
      <c r="R27" s="57" t="inlineStr">
        <is>
          <t>Avoid</t>
        </is>
      </c>
    </row>
    <row r="28" ht="16" customHeight="1">
      <c r="A28" s="26" t="n">
        <v>23</v>
      </c>
      <c r="B28" s="24" t="inlineStr">
        <is>
          <t>Tata Small Cap Fund-Reg(G)</t>
        </is>
      </c>
      <c r="C28" s="24" t="inlineStr">
        <is>
          <t>Tata Asset Management Private Limited</t>
        </is>
      </c>
      <c r="D28" s="37" t="n">
        <v>10715.2110829562</v>
      </c>
      <c r="E28" s="38" t="n">
        <v>7.386301</v>
      </c>
      <c r="F28" s="24" t="inlineStr">
        <is>
          <t>NIFTY 50 - TRI</t>
        </is>
      </c>
      <c r="G28" s="56" t="n">
        <v>-12.5102</v>
      </c>
      <c r="H28" s="54" t="n">
        <v>-1.4412</v>
      </c>
      <c r="I28" s="40" t="n">
        <v>5.0334</v>
      </c>
      <c r="J28" s="41" t="n">
        <v>0.153520784809127</v>
      </c>
      <c r="K28" s="41" t="n">
        <v>0.264357771659699</v>
      </c>
      <c r="L28" s="41" t="n">
        <v>5.0662</v>
      </c>
      <c r="M28" s="38" t="n">
        <v>75.4529</v>
      </c>
      <c r="N28" s="38" t="n">
        <v>90.705</v>
      </c>
      <c r="O28" s="41" t="n">
        <v>1.69</v>
      </c>
      <c r="P28" s="42" t="n">
        <v>1.28</v>
      </c>
      <c r="Q28" s="38" t="n">
        <v>11.3</v>
      </c>
      <c r="R28" s="57" t="inlineStr">
        <is>
          <t>Avoid</t>
        </is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ELSS — Ranked Screener</t>
        </is>
      </c>
    </row>
    <row r="2" ht="15" customHeight="1">
      <c r="A2" s="18" t="inlineStr">
        <is>
          <t>SEBI mandate: Min 80% equity. Mandatory 3-year lock-in. Tax benefit u/s 80C.   |   Data: March 2026   |   Universe: 33   |   Post-gates: 24</t>
        </is>
      </c>
    </row>
    <row r="3" ht="14" customHeight="1">
      <c r="A3" s="36" t="inlineStr">
        <is>
          <t>Gates: AUM ≥ ₹300 Cr  |  Track record ≥ 3Y  |  3Y Alpha &gt; −5%   |   Weights: Alpha 20%  Sharpe 25%  Consistency 30%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HDFC ELSS Tax saver(G)</t>
        </is>
      </c>
      <c r="C6" s="24" t="inlineStr">
        <is>
          <t>HDFC Asset Management Company Limited</t>
        </is>
      </c>
      <c r="D6" s="37" t="n">
        <v>16618.1411</v>
      </c>
      <c r="E6" s="38" t="n">
        <v>30.019178</v>
      </c>
      <c r="F6" s="24" t="inlineStr">
        <is>
          <t>NIFTY 50 - TRI</t>
        </is>
      </c>
      <c r="G6" s="54" t="n">
        <v>-0.1184000000000003</v>
      </c>
      <c r="H6" s="40" t="n">
        <v>6.1442</v>
      </c>
      <c r="I6" s="40" t="n">
        <v>6.5778</v>
      </c>
      <c r="J6" s="41" t="n">
        <v>0.352464786728509</v>
      </c>
      <c r="K6" s="41" t="n">
        <v>0.661999358666025</v>
      </c>
      <c r="L6" s="41" t="n">
        <v>3.5143</v>
      </c>
      <c r="M6" s="38" t="n">
        <v>97.8116</v>
      </c>
      <c r="N6" s="38" t="n">
        <v>72.7307</v>
      </c>
      <c r="O6" s="41" t="n">
        <v>1.7</v>
      </c>
      <c r="P6" s="42" t="n">
        <v>0.6199999999999999</v>
      </c>
      <c r="Q6" s="38" t="n">
        <v>92.90000000000001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DSP ELSS Tax Saver Fund-Reg(G)</t>
        </is>
      </c>
      <c r="C7" s="20" t="inlineStr">
        <is>
          <t>DSP Investment Managers Private Limited</t>
        </is>
      </c>
      <c r="D7" s="44" t="n">
        <v>17249.7851</v>
      </c>
      <c r="E7" s="45" t="n">
        <v>19.210958</v>
      </c>
      <c r="F7" s="20" t="inlineStr">
        <is>
          <t>NIFTY 50 - TRI</t>
        </is>
      </c>
      <c r="G7" s="46" t="n">
        <v>-0.9751000000000003</v>
      </c>
      <c r="H7" s="47" t="n">
        <v>5.815299999999999</v>
      </c>
      <c r="I7" s="47" t="n">
        <v>3.9329</v>
      </c>
      <c r="J7" s="49" t="n">
        <v>0.319376601195559</v>
      </c>
      <c r="K7" s="49" t="n">
        <v>0.593492185621544</v>
      </c>
      <c r="L7" s="49" t="n">
        <v>3.8643</v>
      </c>
      <c r="M7" s="45" t="n">
        <v>105.1203</v>
      </c>
      <c r="N7" s="45" t="n">
        <v>91.01600000000001</v>
      </c>
      <c r="O7" s="49" t="n">
        <v>1.64</v>
      </c>
      <c r="P7" s="50" t="n">
        <v>0.8999999999999999</v>
      </c>
      <c r="Q7" s="45" t="n">
        <v>85.40000000000001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WOC ELSS Tax Saver Fund-Reg(G)</t>
        </is>
      </c>
      <c r="C8" s="24" t="inlineStr">
        <is>
          <t>WhiteOak Capital Asset Management Limited</t>
        </is>
      </c>
      <c r="D8" s="37" t="n">
        <v>438.2061</v>
      </c>
      <c r="E8" s="38" t="n">
        <v>3.463013</v>
      </c>
      <c r="F8" s="24" t="inlineStr">
        <is>
          <t>NIFTY 50 - TRI</t>
        </is>
      </c>
      <c r="G8" s="54" t="n">
        <v>-0.7030000000000003</v>
      </c>
      <c r="H8" s="40" t="n">
        <v>6.185</v>
      </c>
      <c r="I8" s="42" t="inlineStr">
        <is>
          <t>—</t>
        </is>
      </c>
      <c r="J8" s="41" t="n">
        <v>0.321215919534361</v>
      </c>
      <c r="K8" s="41" t="n">
        <v>0.59385831602794</v>
      </c>
      <c r="L8" s="41" t="n">
        <v>3.9172</v>
      </c>
      <c r="M8" s="38" t="n">
        <v>123.4658</v>
      </c>
      <c r="N8" s="38" t="n">
        <v>96.30159999999999</v>
      </c>
      <c r="O8" s="41" t="n">
        <v>2.33</v>
      </c>
      <c r="P8" s="42" t="n">
        <v>1.69</v>
      </c>
      <c r="Q8" s="38" t="n">
        <v>82.3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Motilal Oswal ELSS Tax Saver Fund-Reg(G)</t>
        </is>
      </c>
      <c r="C9" s="20" t="inlineStr">
        <is>
          <t>Motilal Oswal Asset Management Company Limited</t>
        </is>
      </c>
      <c r="D9" s="44" t="n">
        <v>4174.5017</v>
      </c>
      <c r="E9" s="45" t="n">
        <v>11.19726</v>
      </c>
      <c r="F9" s="20" t="inlineStr">
        <is>
          <t>NIFTY 50 - TRI</t>
        </is>
      </c>
      <c r="G9" s="47" t="n">
        <v>4.2541</v>
      </c>
      <c r="H9" s="47" t="n">
        <v>9.469800000000001</v>
      </c>
      <c r="I9" s="47" t="n">
        <v>5.7751</v>
      </c>
      <c r="J9" s="49" t="n">
        <v>0.279207256774008</v>
      </c>
      <c r="K9" s="49" t="n">
        <v>0.474389625465876</v>
      </c>
      <c r="L9" s="49" t="n">
        <v>5.5617</v>
      </c>
      <c r="M9" s="45" t="n">
        <v>133.6825</v>
      </c>
      <c r="N9" s="45" t="n">
        <v>131.0976</v>
      </c>
      <c r="O9" s="49" t="n">
        <v>1.82</v>
      </c>
      <c r="P9" s="50" t="n">
        <v>1.15</v>
      </c>
      <c r="Q9" s="45" t="n">
        <v>78</v>
      </c>
      <c r="R9" s="43" t="inlineStr">
        <is>
          <t>Strong Buy</t>
        </is>
      </c>
    </row>
    <row r="10" ht="16" customHeight="1">
      <c r="A10" s="26" t="n">
        <v>5</v>
      </c>
      <c r="B10" s="24" t="inlineStr">
        <is>
          <t>Baroda BNP Paribas ELSS Tax Saver Fund-Reg(G)</t>
        </is>
      </c>
      <c r="C10" s="24" t="inlineStr">
        <is>
          <t>Baroda BNP Paribas Asset Management India Pvt. Ltd.</t>
        </is>
      </c>
      <c r="D10" s="37" t="n">
        <v>906.2174</v>
      </c>
      <c r="E10" s="38" t="n">
        <v>20.246575</v>
      </c>
      <c r="F10" s="24" t="inlineStr">
        <is>
          <t>NIFTY 50 - TRI</t>
        </is>
      </c>
      <c r="G10" s="40" t="n">
        <v>3.2855</v>
      </c>
      <c r="H10" s="40" t="n">
        <v>5.527900000000001</v>
      </c>
      <c r="I10" s="39" t="n">
        <v>1.360799999999999</v>
      </c>
      <c r="J10" s="41" t="n">
        <v>0.311014511632754</v>
      </c>
      <c r="K10" s="41" t="n">
        <v>0.562699505067169</v>
      </c>
      <c r="L10" s="41" t="n">
        <v>3.8383</v>
      </c>
      <c r="M10" s="38" t="n">
        <v>103.7144</v>
      </c>
      <c r="N10" s="38" t="n">
        <v>91.8111</v>
      </c>
      <c r="O10" s="41" t="n">
        <v>2.22</v>
      </c>
      <c r="P10" s="42" t="n">
        <v>1.22</v>
      </c>
      <c r="Q10" s="38" t="n">
        <v>77.90000000000001</v>
      </c>
      <c r="R10" s="43" t="inlineStr">
        <is>
          <t>Strong Buy</t>
        </is>
      </c>
    </row>
    <row r="11" ht="16" customHeight="1">
      <c r="A11" s="22" t="n">
        <v>6</v>
      </c>
      <c r="B11" s="20" t="inlineStr">
        <is>
          <t>HSBC ELSS Tax saver Fund-Reg(G)</t>
        </is>
      </c>
      <c r="C11" s="20" t="inlineStr">
        <is>
          <t>HSBC Global Asset Management (India) Private Limited</t>
        </is>
      </c>
      <c r="D11" s="44" t="n">
        <v>4022.8614</v>
      </c>
      <c r="E11" s="45" t="n">
        <v>20.101369</v>
      </c>
      <c r="F11" s="20" t="inlineStr">
        <is>
          <t>NIFTY 50 - TRI</t>
        </is>
      </c>
      <c r="G11" s="48" t="n">
        <v>1.6597</v>
      </c>
      <c r="H11" s="47" t="n">
        <v>5.401400000000001</v>
      </c>
      <c r="I11" s="48" t="n">
        <v>2.458400000000001</v>
      </c>
      <c r="J11" s="49" t="n">
        <v>0.288504563811658</v>
      </c>
      <c r="K11" s="49" t="n">
        <v>0.514708675190538</v>
      </c>
      <c r="L11" s="49" t="n">
        <v>4.2837</v>
      </c>
      <c r="M11" s="45" t="n">
        <v>113.0551</v>
      </c>
      <c r="N11" s="45" t="n">
        <v>110.3971</v>
      </c>
      <c r="O11" s="49" t="n">
        <v>1.92</v>
      </c>
      <c r="P11" s="50" t="n">
        <v>0.75</v>
      </c>
      <c r="Q11" s="45" t="n">
        <v>72.59999999999999</v>
      </c>
      <c r="R11" s="51" t="inlineStr">
        <is>
          <t>Buy</t>
        </is>
      </c>
    </row>
    <row r="12" ht="16" customHeight="1">
      <c r="A12" s="26" t="n">
        <v>7</v>
      </c>
      <c r="B12" s="24" t="inlineStr">
        <is>
          <t>Parag Parikh ELSS Tax Saver Fund-Reg(G)</t>
        </is>
      </c>
      <c r="C12" s="24" t="inlineStr">
        <is>
          <t>PPFAS Asset Management Pvt. Ltd.</t>
        </is>
      </c>
      <c r="D12" s="37" t="n">
        <v>5720.7117</v>
      </c>
      <c r="E12" s="38" t="n">
        <v>6.69041</v>
      </c>
      <c r="F12" s="24" t="inlineStr">
        <is>
          <t>NIFTY 50 - TRI</t>
        </is>
      </c>
      <c r="G12" s="56" t="n">
        <v>-3.7601</v>
      </c>
      <c r="H12" s="39" t="n">
        <v>1.840399999999999</v>
      </c>
      <c r="I12" s="40" t="n">
        <v>3.864700000000001</v>
      </c>
      <c r="J12" s="41" t="n">
        <v>0.294386543759992</v>
      </c>
      <c r="K12" s="41" t="n">
        <v>0.587434331093464</v>
      </c>
      <c r="L12" s="41" t="n">
        <v>2.9399</v>
      </c>
      <c r="M12" s="38" t="n">
        <v>77.3185</v>
      </c>
      <c r="N12" s="38" t="n">
        <v>61.9174</v>
      </c>
      <c r="O12" s="41" t="n">
        <v>1.72</v>
      </c>
      <c r="P12" s="42" t="n">
        <v>1.1</v>
      </c>
      <c r="Q12" s="38" t="n">
        <v>67.09999999999999</v>
      </c>
      <c r="R12" s="51" t="inlineStr">
        <is>
          <t>Buy</t>
        </is>
      </c>
    </row>
    <row r="13" ht="16" customHeight="1">
      <c r="A13" s="22" t="n">
        <v>8</v>
      </c>
      <c r="B13" s="20" t="inlineStr">
        <is>
          <t>ICICI Pru ELSS Tax Saver Fund(G)</t>
        </is>
      </c>
      <c r="C13" s="20" t="inlineStr">
        <is>
          <t>ICICI Prudential Asset Management Company Limited</t>
        </is>
      </c>
      <c r="D13" s="44" t="n">
        <v>14352.5083993281</v>
      </c>
      <c r="E13" s="45" t="n">
        <v>26.632876</v>
      </c>
      <c r="F13" s="20" t="inlineStr">
        <is>
          <t>NIFTY 50 - TRI</t>
        </is>
      </c>
      <c r="G13" s="48" t="n">
        <v>1.2684</v>
      </c>
      <c r="H13" s="47" t="n">
        <v>3.313499999999999</v>
      </c>
      <c r="I13" s="48" t="n">
        <v>1.871500000000001</v>
      </c>
      <c r="J13" s="49" t="n">
        <v>0.287630427170868</v>
      </c>
      <c r="K13" s="49" t="n">
        <v>0.522759187569603</v>
      </c>
      <c r="L13" s="49" t="n">
        <v>3.4272</v>
      </c>
      <c r="M13" s="45" t="n">
        <v>90.69240000000001</v>
      </c>
      <c r="N13" s="45" t="n">
        <v>81.8368</v>
      </c>
      <c r="O13" s="49" t="n">
        <v>1.72</v>
      </c>
      <c r="P13" s="50" t="n">
        <v>0.6299999999999999</v>
      </c>
      <c r="Q13" s="45" t="n">
        <v>66.40000000000001</v>
      </c>
      <c r="R13" s="51" t="inlineStr">
        <is>
          <t>Buy</t>
        </is>
      </c>
    </row>
    <row r="14" ht="16" customHeight="1">
      <c r="A14" s="26" t="n">
        <v>9</v>
      </c>
      <c r="B14" s="24" t="inlineStr">
        <is>
          <t>Franklin India ELSS Tax Saver Fund(G)</t>
        </is>
      </c>
      <c r="C14" s="24" t="inlineStr">
        <is>
          <t>Franklin Templeton Asset Management (India) Private Limited</t>
        </is>
      </c>
      <c r="D14" s="37" t="n">
        <v>6406.5179948</v>
      </c>
      <c r="E14" s="38" t="n">
        <v>26.99178</v>
      </c>
      <c r="F14" s="24" t="inlineStr">
        <is>
          <t>NIFTY 500</t>
        </is>
      </c>
      <c r="G14" s="54" t="n">
        <v>-2.3093</v>
      </c>
      <c r="H14" s="39" t="n">
        <v>1.9321</v>
      </c>
      <c r="I14" s="39" t="n">
        <v>2.338999999999999</v>
      </c>
      <c r="J14" s="41" t="n">
        <v>0.28982125367287</v>
      </c>
      <c r="K14" s="41" t="n">
        <v>0.52409081963987</v>
      </c>
      <c r="L14" s="41" t="n">
        <v>3.6756</v>
      </c>
      <c r="M14" s="38" t="n">
        <v>98.241</v>
      </c>
      <c r="N14" s="38" t="n">
        <v>91.8015</v>
      </c>
      <c r="O14" s="41" t="n">
        <v>1.82</v>
      </c>
      <c r="P14" s="42" t="n">
        <v>0.75</v>
      </c>
      <c r="Q14" s="38" t="n">
        <v>62.7</v>
      </c>
      <c r="R14" s="51" t="inlineStr">
        <is>
          <t>Buy</t>
        </is>
      </c>
    </row>
    <row r="15" ht="16" customHeight="1">
      <c r="A15" s="22" t="n">
        <v>10</v>
      </c>
      <c r="B15" s="20" t="inlineStr">
        <is>
          <t>Quant ELSS Tax Saver Fund(G)</t>
        </is>
      </c>
      <c r="C15" s="20" t="inlineStr">
        <is>
          <t>Quant Money Managers Limited</t>
        </is>
      </c>
      <c r="D15" s="44" t="n">
        <v>12079.8007</v>
      </c>
      <c r="E15" s="45" t="n">
        <v>25.980821</v>
      </c>
      <c r="F15" s="20" t="inlineStr">
        <is>
          <t>NIFTY 50 - TRI</t>
        </is>
      </c>
      <c r="G15" s="47" t="n">
        <v>4.3627</v>
      </c>
      <c r="H15" s="47" t="n">
        <v>3.919699999999999</v>
      </c>
      <c r="I15" s="47" t="n">
        <v>6.514400000000002</v>
      </c>
      <c r="J15" s="49" t="n">
        <v>0.237710224584957</v>
      </c>
      <c r="K15" s="49" t="n">
        <v>0.457201594384992</v>
      </c>
      <c r="L15" s="49" t="n">
        <v>4.4393</v>
      </c>
      <c r="M15" s="45" t="n">
        <v>109.4253</v>
      </c>
      <c r="N15" s="45" t="n">
        <v>120.9472</v>
      </c>
      <c r="O15" s="49" t="n">
        <v>1.69</v>
      </c>
      <c r="P15" s="50" t="n">
        <v>0.9399999999999999</v>
      </c>
      <c r="Q15" s="45" t="n">
        <v>60.6</v>
      </c>
      <c r="R15" s="51" t="inlineStr">
        <is>
          <t>Buy</t>
        </is>
      </c>
    </row>
    <row r="16" ht="16" customHeight="1">
      <c r="A16" s="26" t="n">
        <v>11</v>
      </c>
      <c r="B16" s="24" t="inlineStr">
        <is>
          <t>Bank of India ELSS Tax Saver-Reg(G)</t>
        </is>
      </c>
      <c r="C16" s="24" t="inlineStr">
        <is>
          <t>Bank of India Investment Managers Private Limited</t>
        </is>
      </c>
      <c r="D16" s="37" t="n">
        <v>1384.2083</v>
      </c>
      <c r="E16" s="38" t="n">
        <v>17.104109</v>
      </c>
      <c r="F16" s="24" t="inlineStr">
        <is>
          <t>NIFTY 50 - TRI</t>
        </is>
      </c>
      <c r="G16" s="39" t="n">
        <v>1.5183</v>
      </c>
      <c r="H16" s="40" t="n">
        <v>4.4808</v>
      </c>
      <c r="I16" s="40" t="n">
        <v>3.356999999999999</v>
      </c>
      <c r="J16" s="41" t="n">
        <v>0.245408882546272</v>
      </c>
      <c r="K16" s="41" t="n">
        <v>0.440524375097035</v>
      </c>
      <c r="L16" s="41" t="n">
        <v>4.6248</v>
      </c>
      <c r="M16" s="38" t="n">
        <v>126.0031</v>
      </c>
      <c r="N16" s="38" t="n">
        <v>119.2293</v>
      </c>
      <c r="O16" s="41" t="n">
        <v>1.97</v>
      </c>
      <c r="P16" s="42" t="n">
        <v>1.2</v>
      </c>
      <c r="Q16" s="38" t="n">
        <v>57.2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Edelweiss ELSS Tax saver Fund-Reg(G)</t>
        </is>
      </c>
      <c r="C17" s="20" t="inlineStr">
        <is>
          <t>Edelweiss Asset Management Limited</t>
        </is>
      </c>
      <c r="D17" s="44" t="n">
        <v>439.1513</v>
      </c>
      <c r="E17" s="45" t="n">
        <v>17.260273</v>
      </c>
      <c r="F17" s="20" t="inlineStr">
        <is>
          <t>NIFTY 50 - TRI</t>
        </is>
      </c>
      <c r="G17" s="47" t="n">
        <v>3.3034</v>
      </c>
      <c r="H17" s="47" t="n">
        <v>3.1038</v>
      </c>
      <c r="I17" s="48" t="n">
        <v>1.4602</v>
      </c>
      <c r="J17" s="49" t="n">
        <v>0.266684141888367</v>
      </c>
      <c r="K17" s="49" t="n">
        <v>0.480708509637988</v>
      </c>
      <c r="L17" s="49" t="n">
        <v>3.834</v>
      </c>
      <c r="M17" s="45" t="n">
        <v>100.6054</v>
      </c>
      <c r="N17" s="45" t="n">
        <v>102.0182</v>
      </c>
      <c r="O17" s="49" t="n">
        <v>2.34</v>
      </c>
      <c r="P17" s="50" t="n">
        <v>1.67</v>
      </c>
      <c r="Q17" s="45" t="n">
        <v>56.9</v>
      </c>
      <c r="R17" s="52" t="inlineStr">
        <is>
          <t>Hold</t>
        </is>
      </c>
    </row>
    <row r="18" ht="16" customHeight="1">
      <c r="A18" s="26" t="n">
        <v>13</v>
      </c>
      <c r="B18" s="24" t="inlineStr">
        <is>
          <t>Bandhan ELSS Tax Saver Fund-Reg(G)</t>
        </is>
      </c>
      <c r="C18" s="24" t="inlineStr">
        <is>
          <t>Bandhan AMC Limited</t>
        </is>
      </c>
      <c r="D18" s="37" t="n">
        <v>7056.2407</v>
      </c>
      <c r="E18" s="38" t="n">
        <v>17.271232</v>
      </c>
      <c r="F18" s="24" t="inlineStr">
        <is>
          <t>NIFTY 50 - TRI</t>
        </is>
      </c>
      <c r="G18" s="39" t="n">
        <v>1.4842</v>
      </c>
      <c r="H18" s="39" t="n">
        <v>1.6778</v>
      </c>
      <c r="I18" s="40" t="n">
        <v>3.275500000000001</v>
      </c>
      <c r="J18" s="41" t="n">
        <v>0.264302875547689</v>
      </c>
      <c r="K18" s="41" t="n">
        <v>0.469277176713035</v>
      </c>
      <c r="L18" s="41" t="n">
        <v>3.4463</v>
      </c>
      <c r="M18" s="38" t="n">
        <v>107.9894</v>
      </c>
      <c r="N18" s="38" t="n">
        <v>100.36</v>
      </c>
      <c r="O18" s="41" t="n">
        <v>1.75</v>
      </c>
      <c r="P18" s="42" t="n">
        <v>1.08</v>
      </c>
      <c r="Q18" s="38" t="n">
        <v>54.5</v>
      </c>
      <c r="R18" s="52" t="inlineStr">
        <is>
          <t>Hold</t>
        </is>
      </c>
    </row>
    <row r="19" ht="16" customHeight="1">
      <c r="A19" s="22" t="n">
        <v>14</v>
      </c>
      <c r="B19" s="20" t="inlineStr">
        <is>
          <t>Nippon India ELSS Tax Saver Fund(G)</t>
        </is>
      </c>
      <c r="C19" s="20" t="inlineStr">
        <is>
          <t>Nippon Life India Asset Management Limited</t>
        </is>
      </c>
      <c r="D19" s="44" t="n">
        <v>14959.3697</v>
      </c>
      <c r="E19" s="45" t="n">
        <v>20.536986</v>
      </c>
      <c r="F19" s="20" t="inlineStr">
        <is>
          <t>BSE SENSEX - TRI</t>
        </is>
      </c>
      <c r="G19" s="53" t="n">
        <v>-5.611599999999999</v>
      </c>
      <c r="H19" s="46" t="n">
        <v>-1.453699999999998</v>
      </c>
      <c r="I19" s="53" t="n">
        <v>-6.1944</v>
      </c>
      <c r="J19" s="49" t="n">
        <v>0.294723416602918</v>
      </c>
      <c r="K19" s="49" t="n">
        <v>0.555080981717011</v>
      </c>
      <c r="L19" s="49" t="n">
        <v>3.7909</v>
      </c>
      <c r="M19" s="45" t="n">
        <v>101.2876</v>
      </c>
      <c r="N19" s="45" t="n">
        <v>93.83969999999999</v>
      </c>
      <c r="O19" s="49" t="n">
        <v>1.71</v>
      </c>
      <c r="P19" s="50" t="n">
        <v>0.6799999999999999</v>
      </c>
      <c r="Q19" s="45" t="n">
        <v>48.6</v>
      </c>
      <c r="R19" s="52" t="inlineStr">
        <is>
          <t>Hold</t>
        </is>
      </c>
    </row>
    <row r="20" ht="16" customHeight="1">
      <c r="A20" s="26" t="n">
        <v>15</v>
      </c>
      <c r="B20" s="24" t="inlineStr">
        <is>
          <t>ITI ELSS Tax Saver Fund-Reg(G)</t>
        </is>
      </c>
      <c r="C20" s="24" t="inlineStr">
        <is>
          <t>ITI Asset Management Limited</t>
        </is>
      </c>
      <c r="D20" s="37" t="n">
        <v>417.717</v>
      </c>
      <c r="E20" s="38" t="n">
        <v>6.454794</v>
      </c>
      <c r="F20" s="24" t="inlineStr">
        <is>
          <t>NIFTY 50 - TRI</t>
        </is>
      </c>
      <c r="G20" s="54" t="n">
        <v>-2.2602</v>
      </c>
      <c r="H20" s="40" t="n">
        <v>3.8904</v>
      </c>
      <c r="I20" s="39" t="n">
        <v>0.1159999999999997</v>
      </c>
      <c r="J20" s="41" t="n">
        <v>0.242749795514228</v>
      </c>
      <c r="K20" s="41" t="n">
        <v>0.4219579451491</v>
      </c>
      <c r="L20" s="41" t="n">
        <v>4.6458</v>
      </c>
      <c r="M20" s="38" t="n">
        <v>113.5024</v>
      </c>
      <c r="N20" s="38" t="n">
        <v>123.8188</v>
      </c>
      <c r="O20" s="41" t="n">
        <v>2.31</v>
      </c>
      <c r="P20" s="42" t="n">
        <v>1.75</v>
      </c>
      <c r="Q20" s="38" t="n">
        <v>41.2</v>
      </c>
      <c r="R20" s="55" t="inlineStr">
        <is>
          <t>Underweight</t>
        </is>
      </c>
    </row>
    <row r="21" ht="16" customHeight="1">
      <c r="A21" s="22" t="n">
        <v>16</v>
      </c>
      <c r="B21" s="20" t="inlineStr">
        <is>
          <t>Sundaram ELSS Tax Saver Fund-Reg(G)</t>
        </is>
      </c>
      <c r="C21" s="20" t="inlineStr">
        <is>
          <t>Sundaram Asset Management Company Limited</t>
        </is>
      </c>
      <c r="D21" s="44" t="n">
        <v>1348.87684502</v>
      </c>
      <c r="E21" s="45" t="n">
        <v>30.019178</v>
      </c>
      <c r="F21" s="20" t="inlineStr">
        <is>
          <t>NIFTY 50 - TRI</t>
        </is>
      </c>
      <c r="G21" s="46" t="n">
        <v>-0.2881</v>
      </c>
      <c r="H21" s="48" t="n">
        <v>1.457899999999999</v>
      </c>
      <c r="I21" s="48" t="n">
        <v>1.5647</v>
      </c>
      <c r="J21" s="49" t="n">
        <v>0.255548206637336</v>
      </c>
      <c r="K21" s="49" t="n">
        <v>0.440294678714859</v>
      </c>
      <c r="L21" s="49" t="n">
        <v>3.4321</v>
      </c>
      <c r="M21" s="45" t="n">
        <v>88.2522</v>
      </c>
      <c r="N21" s="45" t="n">
        <v>87.33150000000001</v>
      </c>
      <c r="O21" s="49" t="n">
        <v>2.19</v>
      </c>
      <c r="P21" s="50" t="n">
        <v>0.6599999999999999</v>
      </c>
      <c r="Q21" s="45" t="n">
        <v>40.6</v>
      </c>
      <c r="R21" s="55" t="inlineStr">
        <is>
          <t>Underweight</t>
        </is>
      </c>
    </row>
    <row r="22" ht="16" customHeight="1">
      <c r="A22" s="26" t="n">
        <v>17</v>
      </c>
      <c r="B22" s="24" t="inlineStr">
        <is>
          <t>Axis ELSS Tax Saver Fund-Reg(G)</t>
        </is>
      </c>
      <c r="C22" s="24" t="inlineStr">
        <is>
          <t>Axis Asset Management Company Ltd.</t>
        </is>
      </c>
      <c r="D22" s="37" t="n">
        <v>33185.5005</v>
      </c>
      <c r="E22" s="38" t="n">
        <v>16.263013</v>
      </c>
      <c r="F22" s="24" t="inlineStr">
        <is>
          <t>NIFTY 50 - TRI</t>
        </is>
      </c>
      <c r="G22" s="54" t="n">
        <v>-1.8511</v>
      </c>
      <c r="H22" s="39" t="n">
        <v>1.5381</v>
      </c>
      <c r="I22" s="54" t="n">
        <v>-2.952999999999999</v>
      </c>
      <c r="J22" s="41" t="n">
        <v>0.239326223544974</v>
      </c>
      <c r="K22" s="41" t="n">
        <v>0.441496111026384</v>
      </c>
      <c r="L22" s="41" t="n">
        <v>3.6288</v>
      </c>
      <c r="M22" s="38" t="n">
        <v>87.994</v>
      </c>
      <c r="N22" s="38" t="n">
        <v>87.2088</v>
      </c>
      <c r="O22" s="41" t="n">
        <v>1.54</v>
      </c>
      <c r="P22" s="42" t="n">
        <v>0.73</v>
      </c>
      <c r="Q22" s="38" t="n">
        <v>37.8</v>
      </c>
      <c r="R22" s="55" t="inlineStr">
        <is>
          <t>Underweight</t>
        </is>
      </c>
    </row>
    <row r="23" ht="16" customHeight="1">
      <c r="A23" s="22" t="n">
        <v>18</v>
      </c>
      <c r="B23" s="20" t="inlineStr">
        <is>
          <t>Mirae Asset ELSS Tax Saver Fund-Reg(G)</t>
        </is>
      </c>
      <c r="C23" s="20" t="inlineStr">
        <is>
          <t>Mirae Asset Investment Managers (India) Private Limited</t>
        </is>
      </c>
      <c r="D23" s="44" t="n">
        <v>26202.6212</v>
      </c>
      <c r="E23" s="45" t="n">
        <v>10.263013</v>
      </c>
      <c r="F23" s="20" t="inlineStr">
        <is>
          <t>BSE SENSEX - TRI</t>
        </is>
      </c>
      <c r="G23" s="53" t="n">
        <v>-6.0752</v>
      </c>
      <c r="H23" s="53" t="n">
        <v>-3.338899999999999</v>
      </c>
      <c r="I23" s="53" t="n">
        <v>-8.156099999999999</v>
      </c>
      <c r="J23" s="49" t="n">
        <v>0.269454454717378</v>
      </c>
      <c r="K23" s="49" t="n">
        <v>0.484105044594403</v>
      </c>
      <c r="L23" s="49" t="n">
        <v>3.8072</v>
      </c>
      <c r="M23" s="45" t="n">
        <v>100.422</v>
      </c>
      <c r="N23" s="45" t="n">
        <v>101.1802</v>
      </c>
      <c r="O23" s="49" t="n">
        <v>1.56</v>
      </c>
      <c r="P23" s="50" t="n">
        <v>0.9700000000000001</v>
      </c>
      <c r="Q23" s="45" t="n">
        <v>36.1</v>
      </c>
      <c r="R23" s="55" t="inlineStr">
        <is>
          <t>Underweight</t>
        </is>
      </c>
    </row>
    <row r="24" ht="16" customHeight="1">
      <c r="A24" s="26" t="n">
        <v>19</v>
      </c>
      <c r="B24" s="24" t="inlineStr">
        <is>
          <t>Kotak ELSS Tax Saver Fund(G)</t>
        </is>
      </c>
      <c r="C24" s="24" t="inlineStr">
        <is>
          <t>Kotak Mahindra Asset Management Company Limited</t>
        </is>
      </c>
      <c r="D24" s="37" t="n">
        <v>6355.1702</v>
      </c>
      <c r="E24" s="38" t="n">
        <v>20.364383</v>
      </c>
      <c r="F24" s="24" t="inlineStr">
        <is>
          <t>NIFTY 50 - TRI</t>
        </is>
      </c>
      <c r="G24" s="39" t="n">
        <v>0.05230000000000024</v>
      </c>
      <c r="H24" s="39" t="n">
        <v>1.2385</v>
      </c>
      <c r="I24" s="39" t="n">
        <v>1.804600000000001</v>
      </c>
      <c r="J24" s="41" t="n">
        <v>0.236874000213288</v>
      </c>
      <c r="K24" s="41" t="n">
        <v>0.406416449384749</v>
      </c>
      <c r="L24" s="41" t="n">
        <v>3.7508</v>
      </c>
      <c r="M24" s="38" t="n">
        <v>94.3052</v>
      </c>
      <c r="N24" s="38" t="n">
        <v>101.0707</v>
      </c>
      <c r="O24" s="41" t="n">
        <v>1.76</v>
      </c>
      <c r="P24" s="42" t="n">
        <v>1.14</v>
      </c>
      <c r="Q24" s="38" t="n">
        <v>32.7</v>
      </c>
      <c r="R24" s="55" t="inlineStr">
        <is>
          <t>Underweight</t>
        </is>
      </c>
    </row>
    <row r="25" ht="16" customHeight="1">
      <c r="A25" s="22" t="n">
        <v>20</v>
      </c>
      <c r="B25" s="20" t="inlineStr">
        <is>
          <t>Mahindra Manulife ELSS Tax Saver Fund-Reg(G)</t>
        </is>
      </c>
      <c r="C25" s="20" t="inlineStr">
        <is>
          <t>Mahindra Manulife Investment Management Private Limited</t>
        </is>
      </c>
      <c r="D25" s="44" t="n">
        <v>936.3973999999999</v>
      </c>
      <c r="E25" s="45" t="n">
        <v>9.454794</v>
      </c>
      <c r="F25" s="20" t="inlineStr">
        <is>
          <t>NIFTY 50 - TRI</t>
        </is>
      </c>
      <c r="G25" s="46" t="n">
        <v>-0.6455000000000002</v>
      </c>
      <c r="H25" s="48" t="n">
        <v>0.3328999999999986</v>
      </c>
      <c r="I25" s="48" t="n">
        <v>1.0892</v>
      </c>
      <c r="J25" s="49" t="n">
        <v>0.223640436142338</v>
      </c>
      <c r="K25" s="49" t="n">
        <v>0.397320552607869</v>
      </c>
      <c r="L25" s="49" t="n">
        <v>3.5493</v>
      </c>
      <c r="M25" s="45" t="n">
        <v>89.0587</v>
      </c>
      <c r="N25" s="45" t="n">
        <v>97.9453</v>
      </c>
      <c r="O25" s="49" t="n">
        <v>2.18</v>
      </c>
      <c r="P25" s="50" t="n">
        <v>1.45</v>
      </c>
      <c r="Q25" s="45" t="n">
        <v>22.9</v>
      </c>
      <c r="R25" s="57" t="inlineStr">
        <is>
          <t>Avoid</t>
        </is>
      </c>
    </row>
    <row r="26" ht="16" customHeight="1">
      <c r="A26" s="26" t="n">
        <v>21</v>
      </c>
      <c r="B26" s="24" t="inlineStr">
        <is>
          <t>Invesco India ELSS Tax Saver Fund-Reg(G)</t>
        </is>
      </c>
      <c r="C26" s="24" t="inlineStr">
        <is>
          <t>Invesco Asset Management Company Pvt Ltd.</t>
        </is>
      </c>
      <c r="D26" s="37" t="n">
        <v>2602.2928</v>
      </c>
      <c r="E26" s="38" t="n">
        <v>19.265753</v>
      </c>
      <c r="F26" s="24" t="inlineStr">
        <is>
          <t>NIFTY 50 - TRI</t>
        </is>
      </c>
      <c r="G26" s="56" t="n">
        <v>-4.9739</v>
      </c>
      <c r="H26" s="39" t="n">
        <v>1.616899999999999</v>
      </c>
      <c r="I26" s="54" t="n">
        <v>-0.7506000000000004</v>
      </c>
      <c r="J26" s="41" t="n">
        <v>0.222891881076246</v>
      </c>
      <c r="K26" s="41" t="n">
        <v>0.393544056525353</v>
      </c>
      <c r="L26" s="41" t="n">
        <v>4.2481</v>
      </c>
      <c r="M26" s="38" t="n">
        <v>117.9739</v>
      </c>
      <c r="N26" s="38" t="n">
        <v>121.644</v>
      </c>
      <c r="O26" s="41" t="n">
        <v>1.94</v>
      </c>
      <c r="P26" s="42" t="n">
        <v>1.1</v>
      </c>
      <c r="Q26" s="38" t="n">
        <v>22.8</v>
      </c>
      <c r="R26" s="57" t="inlineStr">
        <is>
          <t>Avoid</t>
        </is>
      </c>
    </row>
    <row r="27" ht="16" customHeight="1">
      <c r="A27" s="22" t="n">
        <v>22</v>
      </c>
      <c r="B27" s="20" t="inlineStr">
        <is>
          <t>LIC MF ELSS Tax Saver-Reg(G)</t>
        </is>
      </c>
      <c r="C27" s="20" t="inlineStr">
        <is>
          <t>LIC Mutual Fund Asset Management Limited</t>
        </is>
      </c>
      <c r="D27" s="44" t="n">
        <v>1044.5721</v>
      </c>
      <c r="E27" s="45" t="n">
        <v>28.019178</v>
      </c>
      <c r="F27" s="20" t="inlineStr">
        <is>
          <t>NIFTY 50 - TRI</t>
        </is>
      </c>
      <c r="G27" s="53" t="n">
        <v>-6.643599999999999</v>
      </c>
      <c r="H27" s="48" t="n">
        <v>0.5374999999999996</v>
      </c>
      <c r="I27" s="46" t="n">
        <v>-0.0284999999999993</v>
      </c>
      <c r="J27" s="49" t="n">
        <v>0.230709017050617</v>
      </c>
      <c r="K27" s="49" t="n">
        <v>0.413244135950215</v>
      </c>
      <c r="L27" s="49" t="n">
        <v>3.7418</v>
      </c>
      <c r="M27" s="45" t="n">
        <v>88.864</v>
      </c>
      <c r="N27" s="45" t="n">
        <v>91.20740000000001</v>
      </c>
      <c r="O27" s="49" t="n">
        <v>2.17</v>
      </c>
      <c r="P27" s="50" t="n">
        <v>1.17</v>
      </c>
      <c r="Q27" s="45" t="n">
        <v>21.6</v>
      </c>
      <c r="R27" s="57" t="inlineStr">
        <is>
          <t>Avoid</t>
        </is>
      </c>
    </row>
    <row r="28" ht="16" customHeight="1">
      <c r="A28" s="26" t="n">
        <v>23</v>
      </c>
      <c r="B28" s="24" t="inlineStr">
        <is>
          <t>Union ELSS Tax Saver Fund(G)</t>
        </is>
      </c>
      <c r="C28" s="24" t="inlineStr">
        <is>
          <t>Union Asset Management Company Pvt. Ltd.</t>
        </is>
      </c>
      <c r="D28" s="37" t="n">
        <v>875.6642000000001</v>
      </c>
      <c r="E28" s="38" t="n">
        <v>14.279452</v>
      </c>
      <c r="F28" s="24" t="inlineStr">
        <is>
          <t>BSE SENSEX - TRI</t>
        </is>
      </c>
      <c r="G28" s="56" t="n">
        <v>-7.670399999999999</v>
      </c>
      <c r="H28" s="56" t="n">
        <v>-4.520799999999998</v>
      </c>
      <c r="I28" s="56" t="n">
        <v>-8.015199999999998</v>
      </c>
      <c r="J28" s="41" t="n">
        <v>0.245748549844867</v>
      </c>
      <c r="K28" s="41" t="n">
        <v>0.425340649077749</v>
      </c>
      <c r="L28" s="41" t="n">
        <v>3.7065</v>
      </c>
      <c r="M28" s="38" t="n">
        <v>99.2243</v>
      </c>
      <c r="N28" s="38" t="n">
        <v>97.35890000000001</v>
      </c>
      <c r="O28" s="41" t="n">
        <v>2.29</v>
      </c>
      <c r="P28" s="42" t="n">
        <v>0.96</v>
      </c>
      <c r="Q28" s="38" t="n">
        <v>19.6</v>
      </c>
      <c r="R28" s="57" t="inlineStr">
        <is>
          <t>Avoid</t>
        </is>
      </c>
    </row>
    <row r="29" ht="16" customHeight="1">
      <c r="A29" s="22" t="n">
        <v>24</v>
      </c>
      <c r="B29" s="20" t="inlineStr">
        <is>
          <t>PGIM India ELSS Tax Saver Fund-Reg(G)</t>
        </is>
      </c>
      <c r="C29" s="20" t="inlineStr">
        <is>
          <t>PGIM India Asset Management Private Limited</t>
        </is>
      </c>
      <c r="D29" s="44" t="n">
        <v>726.4019</v>
      </c>
      <c r="E29" s="45" t="n">
        <v>10.309589</v>
      </c>
      <c r="F29" s="20" t="inlineStr">
        <is>
          <t>NIFTY 50 - TRI</t>
        </is>
      </c>
      <c r="G29" s="53" t="n">
        <v>-4.655099999999999</v>
      </c>
      <c r="H29" s="46" t="n">
        <v>-2.8699</v>
      </c>
      <c r="I29" s="46" t="n">
        <v>-0.1387</v>
      </c>
      <c r="J29" s="49" t="n">
        <v>0.152911284089654</v>
      </c>
      <c r="K29" s="49" t="n">
        <v>0.272072589754924</v>
      </c>
      <c r="L29" s="49" t="n">
        <v>3.6228</v>
      </c>
      <c r="M29" s="45" t="n">
        <v>80.3331</v>
      </c>
      <c r="N29" s="45" t="n">
        <v>102.6422</v>
      </c>
      <c r="O29" s="49" t="n">
        <v>2.27</v>
      </c>
      <c r="P29" s="50" t="n">
        <v>1.52</v>
      </c>
      <c r="Q29" s="45" t="n">
        <v>11.8</v>
      </c>
      <c r="R29" s="57" t="inlineStr">
        <is>
          <t>Avoid</t>
        </is>
      </c>
    </row>
    <row r="31">
      <c r="A31" s="58" t="inlineStr">
        <is>
          <t>Note: ELSS funds carry a mandatory 3-year lock-in. Consistency weight raised to 30% (vs 25% default) to reflect locked-in investor exposure.</t>
        </is>
      </c>
    </row>
  </sheetData>
  <mergeCells count="4">
    <mergeCell ref="A3:R3"/>
    <mergeCell ref="A2:R2"/>
    <mergeCell ref="A31:R31"/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Multi Cap — Ranked Screener</t>
        </is>
      </c>
    </row>
    <row r="2" ht="15" customHeight="1">
      <c r="A2" s="18" t="inlineStr">
        <is>
          <t>SEBI mandate: Min 25% each in large, mid, and small cap.   |   Data: March 2026   |   Universe: 30   |   Post-gates: 19</t>
        </is>
      </c>
    </row>
    <row r="3" ht="14" customHeight="1">
      <c r="A3" s="36" t="inlineStr">
        <is>
          <t>Gates: AUM ≥ ₹500 Cr  |  Track record ≥ 3Y  |  3Y Alpha &gt; −5%   |   Weights: Alpha 25%  Sharpe 25%  Consistency 25%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Kotak Multicap Fund-Reg(G)</t>
        </is>
      </c>
      <c r="C6" s="24" t="inlineStr">
        <is>
          <t>Kotak Mahindra Asset Management Company Limited</t>
        </is>
      </c>
      <c r="D6" s="37" t="n">
        <v>23886.0217</v>
      </c>
      <c r="E6" s="38" t="n">
        <v>4.504109</v>
      </c>
      <c r="F6" s="24" t="inlineStr">
        <is>
          <t>NIFTY 50 - TRI</t>
        </is>
      </c>
      <c r="G6" s="40" t="n">
        <v>6.1678</v>
      </c>
      <c r="H6" s="40" t="n">
        <v>9.725699999999998</v>
      </c>
      <c r="I6" s="42" t="inlineStr">
        <is>
          <t>—</t>
        </is>
      </c>
      <c r="J6" s="41" t="n">
        <v>0.352204516188374</v>
      </c>
      <c r="K6" s="41" t="n">
        <v>0.643503487101924</v>
      </c>
      <c r="L6" s="41" t="n">
        <v>4.3488</v>
      </c>
      <c r="M6" s="38" t="n">
        <v>111.4024</v>
      </c>
      <c r="N6" s="38" t="n">
        <v>96.4996</v>
      </c>
      <c r="O6" s="41" t="n">
        <v>1.59</v>
      </c>
      <c r="P6" s="42" t="n">
        <v>1.14</v>
      </c>
      <c r="Q6" s="38" t="n">
        <v>92.40000000000001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Axis Multicap Fund-Reg(G)</t>
        </is>
      </c>
      <c r="C7" s="20" t="inlineStr">
        <is>
          <t>Axis Asset Management Company Ltd.</t>
        </is>
      </c>
      <c r="D7" s="44" t="n">
        <v>9361.082503</v>
      </c>
      <c r="E7" s="45" t="n">
        <v>4.287671</v>
      </c>
      <c r="F7" s="20" t="inlineStr">
        <is>
          <t>NIFTY 50 - TRI</t>
        </is>
      </c>
      <c r="G7" s="48" t="n">
        <v>2.1336</v>
      </c>
      <c r="H7" s="47" t="n">
        <v>8.952899999999998</v>
      </c>
      <c r="I7" s="50" t="inlineStr">
        <is>
          <t>—</t>
        </is>
      </c>
      <c r="J7" s="49" t="n">
        <v>0.34973596482752</v>
      </c>
      <c r="K7" s="49" t="n">
        <v>0.646584341923094</v>
      </c>
      <c r="L7" s="49" t="n">
        <v>4.1396</v>
      </c>
      <c r="M7" s="45" t="n">
        <v>106.3068</v>
      </c>
      <c r="N7" s="45" t="n">
        <v>90.2651</v>
      </c>
      <c r="O7" s="49" t="n">
        <v>1.76</v>
      </c>
      <c r="P7" s="50" t="n">
        <v>1.07</v>
      </c>
      <c r="Q7" s="45" t="n">
        <v>86.7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ICICI Pru Multicap Fund(G)</t>
        </is>
      </c>
      <c r="C8" s="24" t="inlineStr">
        <is>
          <t>ICICI Prudential Asset Management Company Limited</t>
        </is>
      </c>
      <c r="D8" s="37" t="n">
        <v>16315.0943539449</v>
      </c>
      <c r="E8" s="38" t="n">
        <v>31.517808</v>
      </c>
      <c r="F8" s="24" t="inlineStr">
        <is>
          <t>NIFTY 50 - TRI</t>
        </is>
      </c>
      <c r="G8" s="39" t="n">
        <v>1.3458</v>
      </c>
      <c r="H8" s="40" t="n">
        <v>6.131099999999998</v>
      </c>
      <c r="I8" s="40" t="n">
        <v>5.008800000000001</v>
      </c>
      <c r="J8" s="41" t="n">
        <v>0.345415909216108</v>
      </c>
      <c r="K8" s="41" t="n">
        <v>0.6734330361937489</v>
      </c>
      <c r="L8" s="41" t="n">
        <v>3.6306</v>
      </c>
      <c r="M8" s="38" t="n">
        <v>93.0487</v>
      </c>
      <c r="N8" s="38" t="n">
        <v>77.2306</v>
      </c>
      <c r="O8" s="41" t="n">
        <v>1.73</v>
      </c>
      <c r="P8" s="42" t="n">
        <v>0.79</v>
      </c>
      <c r="Q8" s="38" t="n">
        <v>84.3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Mahindra Manulife Multi Cap Fund-Reg(G)</t>
        </is>
      </c>
      <c r="C9" s="20" t="inlineStr">
        <is>
          <t>Mahindra Manulife Investment Management Private Limited</t>
        </is>
      </c>
      <c r="D9" s="44" t="n">
        <v>6173.7684</v>
      </c>
      <c r="E9" s="45" t="n">
        <v>8.89315</v>
      </c>
      <c r="F9" s="20" t="inlineStr">
        <is>
          <t>NIFTY 50 - TRI</t>
        </is>
      </c>
      <c r="G9" s="47" t="n">
        <v>4.9745</v>
      </c>
      <c r="H9" s="47" t="n">
        <v>7.026300000000001</v>
      </c>
      <c r="I9" s="47" t="n">
        <v>6.1317</v>
      </c>
      <c r="J9" s="49" t="n">
        <v>0.307447002667415</v>
      </c>
      <c r="K9" s="49" t="n">
        <v>0.57519129749606</v>
      </c>
      <c r="L9" s="49" t="n">
        <v>4.2738</v>
      </c>
      <c r="M9" s="45" t="n">
        <v>104.7065</v>
      </c>
      <c r="N9" s="45" t="n">
        <v>100.4483</v>
      </c>
      <c r="O9" s="49" t="n">
        <v>1.8</v>
      </c>
      <c r="P9" s="50" t="n">
        <v>1.27</v>
      </c>
      <c r="Q9" s="45" t="n">
        <v>78.09999999999999</v>
      </c>
      <c r="R9" s="43" t="inlineStr">
        <is>
          <t>Strong Buy</t>
        </is>
      </c>
    </row>
    <row r="10" ht="16" customHeight="1">
      <c r="A10" s="26" t="n">
        <v>5</v>
      </c>
      <c r="B10" s="24" t="inlineStr">
        <is>
          <t>HSBC Multi Cap Fund-Reg(G)</t>
        </is>
      </c>
      <c r="C10" s="24" t="inlineStr">
        <is>
          <t>HSBC Global Asset Management (India) Private Limited</t>
        </is>
      </c>
      <c r="D10" s="37" t="n">
        <v>5301.3545</v>
      </c>
      <c r="E10" s="38" t="n">
        <v>3.167123</v>
      </c>
      <c r="F10" s="24" t="inlineStr">
        <is>
          <t>NIFTY 50 - TRI</t>
        </is>
      </c>
      <c r="G10" s="40" t="n">
        <v>3.8908</v>
      </c>
      <c r="H10" s="40" t="n">
        <v>8.472</v>
      </c>
      <c r="I10" s="42" t="inlineStr">
        <is>
          <t>—</t>
        </is>
      </c>
      <c r="J10" s="41" t="n">
        <v>0.327323540030689</v>
      </c>
      <c r="K10" s="41" t="n">
        <v>0.5953730914463961</v>
      </c>
      <c r="L10" s="41" t="n">
        <v>4.4316</v>
      </c>
      <c r="M10" s="38" t="n">
        <v>109.8762</v>
      </c>
      <c r="N10" s="38" t="n">
        <v>100.4267</v>
      </c>
      <c r="O10" s="41" t="n">
        <v>1.84</v>
      </c>
      <c r="P10" s="42" t="n">
        <v>1.23</v>
      </c>
      <c r="Q10" s="38" t="n">
        <v>76.40000000000001</v>
      </c>
      <c r="R10" s="43" t="inlineStr">
        <is>
          <t>Strong Buy</t>
        </is>
      </c>
    </row>
    <row r="11" ht="16" customHeight="1">
      <c r="A11" s="22" t="n">
        <v>6</v>
      </c>
      <c r="B11" s="20" t="inlineStr">
        <is>
          <t>LIC MF Multi Cap Fund-Reg(G)</t>
        </is>
      </c>
      <c r="C11" s="20" t="inlineStr">
        <is>
          <t>LIC Mutual Fund Asset Management Limited</t>
        </is>
      </c>
      <c r="D11" s="44" t="n">
        <v>1828.5135</v>
      </c>
      <c r="E11" s="45" t="n">
        <v>3.416438</v>
      </c>
      <c r="F11" s="20" t="inlineStr">
        <is>
          <t>NIFTY 50 - TRI</t>
        </is>
      </c>
      <c r="G11" s="48" t="n">
        <v>1.9812</v>
      </c>
      <c r="H11" s="47" t="n">
        <v>5.977199999999998</v>
      </c>
      <c r="I11" s="50" t="inlineStr">
        <is>
          <t>—</t>
        </is>
      </c>
      <c r="J11" s="49" t="n">
        <v>0.295290548371702</v>
      </c>
      <c r="K11" s="49" t="n">
        <v>0.533401888341544</v>
      </c>
      <c r="L11" s="49" t="n">
        <v>4.4003</v>
      </c>
      <c r="M11" s="45" t="n">
        <v>103.4758</v>
      </c>
      <c r="N11" s="45" t="n">
        <v>99.4896</v>
      </c>
      <c r="O11" s="49" t="n">
        <v>2.02</v>
      </c>
      <c r="P11" s="50" t="n">
        <v>1.48</v>
      </c>
      <c r="Q11" s="45" t="n">
        <v>62.1</v>
      </c>
      <c r="R11" s="51" t="inlineStr">
        <is>
          <t>Buy</t>
        </is>
      </c>
    </row>
    <row r="12" ht="16" customHeight="1">
      <c r="A12" s="26" t="n">
        <v>7</v>
      </c>
      <c r="B12" s="24" t="inlineStr">
        <is>
          <t>Nippon India Multi Cap Fund(G)</t>
        </is>
      </c>
      <c r="C12" s="24" t="inlineStr">
        <is>
          <t>Nippon Life India Asset Management Limited</t>
        </is>
      </c>
      <c r="D12" s="37" t="n">
        <v>50820.0115</v>
      </c>
      <c r="E12" s="38" t="n">
        <v>21.021917</v>
      </c>
      <c r="F12" s="24" t="inlineStr">
        <is>
          <t>BSE SENSEX - TRI</t>
        </is>
      </c>
      <c r="G12" s="56" t="n">
        <v>-5.805899999999999</v>
      </c>
      <c r="H12" s="39" t="n">
        <v>1.310300000000002</v>
      </c>
      <c r="I12" s="54" t="n">
        <v>-0.6065000000000005</v>
      </c>
      <c r="J12" s="41" t="n">
        <v>0.340654988387607</v>
      </c>
      <c r="K12" s="41" t="n">
        <v>0.646610233081649</v>
      </c>
      <c r="L12" s="41" t="n">
        <v>4.0474</v>
      </c>
      <c r="M12" s="38" t="n">
        <v>101.6866</v>
      </c>
      <c r="N12" s="38" t="n">
        <v>86.98399999999999</v>
      </c>
      <c r="O12" s="41" t="n">
        <v>1.49</v>
      </c>
      <c r="P12" s="42" t="n">
        <v>0.78</v>
      </c>
      <c r="Q12" s="38" t="n">
        <v>56.6</v>
      </c>
      <c r="R12" s="52" t="inlineStr">
        <is>
          <t>Hold</t>
        </is>
      </c>
    </row>
    <row r="13" ht="16" customHeight="1">
      <c r="A13" s="22" t="n">
        <v>8</v>
      </c>
      <c r="B13" s="20" t="inlineStr">
        <is>
          <t>ITI Multi-Cap Fund-Reg(G)</t>
        </is>
      </c>
      <c r="C13" s="20" t="inlineStr">
        <is>
          <t>ITI Asset Management Limited</t>
        </is>
      </c>
      <c r="D13" s="44" t="n">
        <v>1336.6902</v>
      </c>
      <c r="E13" s="45" t="n">
        <v>6.882191</v>
      </c>
      <c r="F13" s="20" t="inlineStr">
        <is>
          <t>NIFTY 50 - TRI</t>
        </is>
      </c>
      <c r="G13" s="47" t="n">
        <v>5.7172</v>
      </c>
      <c r="H13" s="47" t="n">
        <v>5.9565</v>
      </c>
      <c r="I13" s="48" t="n">
        <v>1.0877</v>
      </c>
      <c r="J13" s="49" t="n">
        <v>0.287211720653253</v>
      </c>
      <c r="K13" s="49" t="n">
        <v>0.5106139717677251</v>
      </c>
      <c r="L13" s="49" t="n">
        <v>4.4332</v>
      </c>
      <c r="M13" s="45" t="n">
        <v>105.3028</v>
      </c>
      <c r="N13" s="45" t="n">
        <v>106.0877</v>
      </c>
      <c r="O13" s="49" t="n">
        <v>1.95</v>
      </c>
      <c r="P13" s="50" t="n">
        <v>1.62</v>
      </c>
      <c r="Q13" s="45" t="n">
        <v>54.6</v>
      </c>
      <c r="R13" s="52" t="inlineStr">
        <is>
          <t>Hold</t>
        </is>
      </c>
    </row>
    <row r="14" ht="16" customHeight="1">
      <c r="A14" s="26" t="n">
        <v>9</v>
      </c>
      <c r="B14" s="24" t="inlineStr">
        <is>
          <t>HDFC Multi Cap Fund-Reg(G)</t>
        </is>
      </c>
      <c r="C14" s="24" t="inlineStr">
        <is>
          <t>HDFC Asset Management Company Limited</t>
        </is>
      </c>
      <c r="D14" s="37" t="n">
        <v>19528.3062</v>
      </c>
      <c r="E14" s="38" t="n">
        <v>4.306849</v>
      </c>
      <c r="F14" s="24" t="inlineStr">
        <is>
          <t>NIFTY 50 - TRI</t>
        </is>
      </c>
      <c r="G14" s="39" t="n">
        <v>0.3233999999999999</v>
      </c>
      <c r="H14" s="40" t="n">
        <v>5.2903</v>
      </c>
      <c r="I14" s="42" t="inlineStr">
        <is>
          <t>—</t>
        </is>
      </c>
      <c r="J14" s="41" t="n">
        <v>0.287200365750727</v>
      </c>
      <c r="K14" s="41" t="n">
        <v>0.526912852718513</v>
      </c>
      <c r="L14" s="41" t="n">
        <v>4.2652</v>
      </c>
      <c r="M14" s="38" t="n">
        <v>102.6688</v>
      </c>
      <c r="N14" s="38" t="n">
        <v>103.8378</v>
      </c>
      <c r="O14" s="41" t="n">
        <v>1.68</v>
      </c>
      <c r="P14" s="42" t="n">
        <v>0.8899999999999999</v>
      </c>
      <c r="Q14" s="38" t="n">
        <v>54</v>
      </c>
      <c r="R14" s="52" t="inlineStr">
        <is>
          <t>Hold</t>
        </is>
      </c>
    </row>
    <row r="15" ht="16" customHeight="1">
      <c r="A15" s="22" t="n">
        <v>10</v>
      </c>
      <c r="B15" s="20" t="inlineStr">
        <is>
          <t>Bank of India Multi Cap Fund-Reg(G)</t>
        </is>
      </c>
      <c r="C15" s="20" t="inlineStr">
        <is>
          <t>Bank of India Investment Managers Private Limited</t>
        </is>
      </c>
      <c r="D15" s="44" t="n">
        <v>1012.4097</v>
      </c>
      <c r="E15" s="45" t="n">
        <v>3.079452</v>
      </c>
      <c r="F15" s="20" t="inlineStr">
        <is>
          <t>BSE 500 - TRI</t>
        </is>
      </c>
      <c r="G15" s="48" t="n">
        <v>2.7048</v>
      </c>
      <c r="H15" s="46" t="n">
        <v>-1.306699999999999</v>
      </c>
      <c r="I15" s="50" t="inlineStr">
        <is>
          <t>—</t>
        </is>
      </c>
      <c r="J15" s="49" t="n">
        <v>0.341249541419033</v>
      </c>
      <c r="K15" s="49" t="n">
        <v>0.6301165153773201</v>
      </c>
      <c r="L15" s="49" t="n">
        <v>4.0887</v>
      </c>
      <c r="M15" s="45" t="n">
        <v>104.2259</v>
      </c>
      <c r="N15" s="45" t="n">
        <v>91.6003</v>
      </c>
      <c r="O15" s="49" t="n">
        <v>2.1</v>
      </c>
      <c r="P15" s="50" t="n">
        <v>1.32</v>
      </c>
      <c r="Q15" s="45" t="n">
        <v>51.2</v>
      </c>
      <c r="R15" s="52" t="inlineStr">
        <is>
          <t>Hold</t>
        </is>
      </c>
    </row>
    <row r="16" ht="16" customHeight="1">
      <c r="A16" s="26" t="n">
        <v>11</v>
      </c>
      <c r="B16" s="24" t="inlineStr">
        <is>
          <t>Baroda BNP Paribas Multi Cap Fund-Reg(G)</t>
        </is>
      </c>
      <c r="C16" s="24" t="inlineStr">
        <is>
          <t>Baroda BNP Paribas Asset Management India Pvt. Ltd.</t>
        </is>
      </c>
      <c r="D16" s="37" t="n">
        <v>3095.9928</v>
      </c>
      <c r="E16" s="38" t="n">
        <v>22.564383</v>
      </c>
      <c r="F16" s="24" t="inlineStr">
        <is>
          <t>NIFTY 50 - TRI</t>
        </is>
      </c>
      <c r="G16" s="39" t="n">
        <v>0.3583000000000003</v>
      </c>
      <c r="H16" s="40" t="n">
        <v>4.929399999999999</v>
      </c>
      <c r="I16" s="40" t="n">
        <v>4.2841</v>
      </c>
      <c r="J16" s="41" t="n">
        <v>0.279535373038269</v>
      </c>
      <c r="K16" s="41" t="n">
        <v>0.491798188311123</v>
      </c>
      <c r="L16" s="41" t="n">
        <v>4.0398</v>
      </c>
      <c r="M16" s="38" t="n">
        <v>95.1571</v>
      </c>
      <c r="N16" s="38" t="n">
        <v>94.73690000000001</v>
      </c>
      <c r="O16" s="41" t="n">
        <v>1.96</v>
      </c>
      <c r="P16" s="42" t="n">
        <v>1.06</v>
      </c>
      <c r="Q16" s="38" t="n">
        <v>47.4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Sundaram Multi Cap Fund(G)</t>
        </is>
      </c>
      <c r="C17" s="20" t="inlineStr">
        <is>
          <t>Sundaram Asset Management Company Limited</t>
        </is>
      </c>
      <c r="D17" s="44" t="n">
        <v>2826.94964105745</v>
      </c>
      <c r="E17" s="45" t="n">
        <v>25.446575</v>
      </c>
      <c r="F17" s="20" t="inlineStr">
        <is>
          <t>NIFTY 50 - TRI</t>
        </is>
      </c>
      <c r="G17" s="46" t="n">
        <v>-0.2107999999999999</v>
      </c>
      <c r="H17" s="47" t="n">
        <v>3.546899999999999</v>
      </c>
      <c r="I17" s="47" t="n">
        <v>3.318900000000001</v>
      </c>
      <c r="J17" s="49" t="n">
        <v>0.27275373822204</v>
      </c>
      <c r="K17" s="49" t="n">
        <v>0.48300476082521</v>
      </c>
      <c r="L17" s="49" t="n">
        <v>3.9056</v>
      </c>
      <c r="M17" s="45" t="n">
        <v>92.4847</v>
      </c>
      <c r="N17" s="45" t="n">
        <v>93.9858</v>
      </c>
      <c r="O17" s="49" t="n">
        <v>1.99</v>
      </c>
      <c r="P17" s="50" t="n">
        <v>1.1</v>
      </c>
      <c r="Q17" s="45" t="n">
        <v>39.6</v>
      </c>
      <c r="R17" s="55" t="inlineStr">
        <is>
          <t>Underweight</t>
        </is>
      </c>
    </row>
    <row r="18" ht="16" customHeight="1">
      <c r="A18" s="26" t="n">
        <v>13</v>
      </c>
      <c r="B18" s="24" t="inlineStr">
        <is>
          <t>SBI Multicap Fund-Reg(G)</t>
        </is>
      </c>
      <c r="C18" s="24" t="inlineStr">
        <is>
          <t>SBI Funds Management Limited</t>
        </is>
      </c>
      <c r="D18" s="37" t="n">
        <v>22932.4029</v>
      </c>
      <c r="E18" s="38" t="n">
        <v>4.065753</v>
      </c>
      <c r="F18" s="24" t="inlineStr">
        <is>
          <t>BSE SENSEX - TRI</t>
        </is>
      </c>
      <c r="G18" s="56" t="n">
        <v>-9.838999999999999</v>
      </c>
      <c r="H18" s="54" t="n">
        <v>-2.505699999999999</v>
      </c>
      <c r="I18" s="42" t="inlineStr">
        <is>
          <t>—</t>
        </is>
      </c>
      <c r="J18" s="41" t="n">
        <v>0.293792380788333</v>
      </c>
      <c r="K18" s="41" t="n">
        <v>0.554339959915498</v>
      </c>
      <c r="L18" s="41" t="n">
        <v>3.4833</v>
      </c>
      <c r="M18" s="38" t="n">
        <v>84.0604</v>
      </c>
      <c r="N18" s="38" t="n">
        <v>76.8777</v>
      </c>
      <c r="O18" s="41" t="n">
        <v>1.67</v>
      </c>
      <c r="P18" s="42" t="n">
        <v>0.83</v>
      </c>
      <c r="Q18" s="38" t="n">
        <v>37.9</v>
      </c>
      <c r="R18" s="55" t="inlineStr">
        <is>
          <t>Underweight</t>
        </is>
      </c>
    </row>
    <row r="19" ht="16" customHeight="1">
      <c r="A19" s="22" t="n">
        <v>14</v>
      </c>
      <c r="B19" s="20" t="inlineStr">
        <is>
          <t>Aditya Birla SL Multi-Cap Fund-Reg(G)</t>
        </is>
      </c>
      <c r="C19" s="20" t="inlineStr">
        <is>
          <t>Aditya Birla Sun Life AMC Limited</t>
        </is>
      </c>
      <c r="D19" s="44" t="n">
        <v>6585.8977</v>
      </c>
      <c r="E19" s="45" t="n">
        <v>4.901369</v>
      </c>
      <c r="F19" s="20" t="inlineStr">
        <is>
          <t>NIFTY 50 - TRI</t>
        </is>
      </c>
      <c r="G19" s="48" t="n">
        <v>1.5197</v>
      </c>
      <c r="H19" s="47" t="n">
        <v>3.383899999999999</v>
      </c>
      <c r="I19" s="50" t="inlineStr">
        <is>
          <t>—</t>
        </is>
      </c>
      <c r="J19" s="49" t="n">
        <v>0.258257600039449</v>
      </c>
      <c r="K19" s="49" t="n">
        <v>0.453233092466791</v>
      </c>
      <c r="L19" s="49" t="n">
        <v>4.0559</v>
      </c>
      <c r="M19" s="45" t="n">
        <v>94.514</v>
      </c>
      <c r="N19" s="45" t="n">
        <v>100.7051</v>
      </c>
      <c r="O19" s="49" t="n">
        <v>1.82</v>
      </c>
      <c r="P19" s="50" t="n">
        <v>1.06</v>
      </c>
      <c r="Q19" s="45" t="n">
        <v>37.1</v>
      </c>
      <c r="R19" s="55" t="inlineStr">
        <is>
          <t>Underweight</t>
        </is>
      </c>
    </row>
    <row r="20" ht="16" customHeight="1">
      <c r="A20" s="26" t="n">
        <v>15</v>
      </c>
      <c r="B20" s="24" t="inlineStr">
        <is>
          <t>Union Multicap Fund-Reg(G)</t>
        </is>
      </c>
      <c r="C20" s="24" t="inlineStr">
        <is>
          <t>Union Asset Management Company Pvt. Ltd.</t>
        </is>
      </c>
      <c r="D20" s="37" t="n">
        <v>1318.1722</v>
      </c>
      <c r="E20" s="38" t="n">
        <v>3.282191</v>
      </c>
      <c r="F20" s="24" t="inlineStr">
        <is>
          <t>BSE SENSEX - TRI</t>
        </is>
      </c>
      <c r="G20" s="56" t="n">
        <v>-4.1852</v>
      </c>
      <c r="H20" s="54" t="n">
        <v>-0.8348999999999975</v>
      </c>
      <c r="I20" s="42" t="inlineStr">
        <is>
          <t>—</t>
        </is>
      </c>
      <c r="J20" s="41" t="n">
        <v>0.291995667006998</v>
      </c>
      <c r="K20" s="41" t="n">
        <v>0.514441714561488</v>
      </c>
      <c r="L20" s="41" t="n">
        <v>4.0157</v>
      </c>
      <c r="M20" s="38" t="n">
        <v>97.50530000000001</v>
      </c>
      <c r="N20" s="38" t="n">
        <v>96.0547</v>
      </c>
      <c r="O20" s="41" t="n">
        <v>2.17</v>
      </c>
      <c r="P20" s="42" t="n">
        <v>1.16</v>
      </c>
      <c r="Q20" s="38" t="n">
        <v>36.3</v>
      </c>
      <c r="R20" s="55" t="inlineStr">
        <is>
          <t>Underweight</t>
        </is>
      </c>
    </row>
    <row r="21" ht="16" customHeight="1">
      <c r="A21" s="22" t="n">
        <v>16</v>
      </c>
      <c r="B21" s="20" t="inlineStr">
        <is>
          <t>Bandhan Multi Cap Fund-Reg(G)</t>
        </is>
      </c>
      <c r="C21" s="20" t="inlineStr">
        <is>
          <t>Bandhan AMC Limited</t>
        </is>
      </c>
      <c r="D21" s="44" t="n">
        <v>2850.8849</v>
      </c>
      <c r="E21" s="45" t="n">
        <v>4.328767</v>
      </c>
      <c r="F21" s="20" t="inlineStr">
        <is>
          <t>NIFTY 50 - TRI</t>
        </is>
      </c>
      <c r="G21" s="48" t="n">
        <v>0.1485000000000003</v>
      </c>
      <c r="H21" s="48" t="n">
        <v>2.738199999999999</v>
      </c>
      <c r="I21" s="50" t="inlineStr">
        <is>
          <t>—</t>
        </is>
      </c>
      <c r="J21" s="49" t="n">
        <v>0.268002388218124</v>
      </c>
      <c r="K21" s="49" t="n">
        <v>0.485747883801462</v>
      </c>
      <c r="L21" s="49" t="n">
        <v>3.7685</v>
      </c>
      <c r="M21" s="45" t="n">
        <v>89.13420000000001</v>
      </c>
      <c r="N21" s="45" t="n">
        <v>90.5778</v>
      </c>
      <c r="O21" s="49" t="n">
        <v>1.94</v>
      </c>
      <c r="P21" s="50" t="n">
        <v>1.36</v>
      </c>
      <c r="Q21" s="45" t="n">
        <v>36</v>
      </c>
      <c r="R21" s="55" t="inlineStr">
        <is>
          <t>Underweight</t>
        </is>
      </c>
    </row>
    <row r="22" ht="16" customHeight="1">
      <c r="A22" s="26" t="n">
        <v>17</v>
      </c>
      <c r="B22" s="24" t="inlineStr">
        <is>
          <t>Tata Multicap Fund-Reg(G)</t>
        </is>
      </c>
      <c r="C22" s="24" t="inlineStr">
        <is>
          <t>Tata Asset Management Private Limited</t>
        </is>
      </c>
      <c r="D22" s="37" t="n">
        <v>3167.8579138901</v>
      </c>
      <c r="E22" s="38" t="n">
        <v>3.158904</v>
      </c>
      <c r="F22" s="24" t="inlineStr">
        <is>
          <t>NIFTY 50 - TRI</t>
        </is>
      </c>
      <c r="G22" s="40" t="n">
        <v>4.9517</v>
      </c>
      <c r="H22" s="54" t="n">
        <v>-0.3053000000000008</v>
      </c>
      <c r="I22" s="42" t="inlineStr">
        <is>
          <t>—</t>
        </is>
      </c>
      <c r="J22" s="41" t="n">
        <v>0.195943588838757</v>
      </c>
      <c r="K22" s="41" t="n">
        <v>0.330752244394333</v>
      </c>
      <c r="L22" s="41" t="n">
        <v>3.9673</v>
      </c>
      <c r="M22" s="38" t="n">
        <v>84.2484</v>
      </c>
      <c r="N22" s="38" t="n">
        <v>101.5734</v>
      </c>
      <c r="O22" s="41" t="n">
        <v>1.89</v>
      </c>
      <c r="P22" s="42" t="n">
        <v>1.42</v>
      </c>
      <c r="Q22" s="38" t="n">
        <v>26.9</v>
      </c>
      <c r="R22" s="57" t="inlineStr">
        <is>
          <t>Avoid</t>
        </is>
      </c>
    </row>
    <row r="23" ht="16" customHeight="1">
      <c r="A23" s="22" t="n">
        <v>18</v>
      </c>
      <c r="B23" s="20" t="inlineStr">
        <is>
          <t>Invesco India Multicap Fund-Reg(G)</t>
        </is>
      </c>
      <c r="C23" s="20" t="inlineStr">
        <is>
          <t>Invesco Asset Management Company Pvt Ltd.</t>
        </is>
      </c>
      <c r="D23" s="44" t="n">
        <v>4000.5329</v>
      </c>
      <c r="E23" s="45" t="n">
        <v>18.049315</v>
      </c>
      <c r="F23" s="20" t="inlineStr">
        <is>
          <t>NIFTY 50 - TRI</t>
        </is>
      </c>
      <c r="G23" s="53" t="n">
        <v>-6.1556</v>
      </c>
      <c r="H23" s="48" t="n">
        <v>2.143699999999999</v>
      </c>
      <c r="I23" s="48" t="n">
        <v>1.8149</v>
      </c>
      <c r="J23" s="49" t="n">
        <v>0.225144574544154</v>
      </c>
      <c r="K23" s="49" t="n">
        <v>0.386781957773512</v>
      </c>
      <c r="L23" s="49" t="n">
        <v>4.4752</v>
      </c>
      <c r="M23" s="45" t="n">
        <v>97.5621</v>
      </c>
      <c r="N23" s="45" t="n">
        <v>112.7766</v>
      </c>
      <c r="O23" s="49" t="n">
        <v>1.89</v>
      </c>
      <c r="P23" s="50" t="n">
        <v>1.21</v>
      </c>
      <c r="Q23" s="45" t="n">
        <v>25.6</v>
      </c>
      <c r="R23" s="57" t="inlineStr">
        <is>
          <t>Avoid</t>
        </is>
      </c>
    </row>
    <row r="24" ht="16" customHeight="1">
      <c r="A24" s="26" t="n">
        <v>19</v>
      </c>
      <c r="B24" s="24" t="inlineStr">
        <is>
          <t>Quant Multi Cap Fund(G)</t>
        </is>
      </c>
      <c r="C24" s="24" t="inlineStr">
        <is>
          <t>Quant Money Managers Limited</t>
        </is>
      </c>
      <c r="D24" s="37" t="n">
        <v>7273.8449</v>
      </c>
      <c r="E24" s="38" t="n">
        <v>25.046575</v>
      </c>
      <c r="F24" s="24" t="inlineStr">
        <is>
          <t>NIFTY 50 - TRI</t>
        </is>
      </c>
      <c r="G24" s="56" t="n">
        <v>-4.2035</v>
      </c>
      <c r="H24" s="54" t="n">
        <v>-0.8746000000000009</v>
      </c>
      <c r="I24" s="39" t="n">
        <v>2.508599999999999</v>
      </c>
      <c r="J24" s="41" t="n">
        <v>0.154172904106472</v>
      </c>
      <c r="K24" s="41" t="n">
        <v>0.285165376199293</v>
      </c>
      <c r="L24" s="41" t="n">
        <v>4.3955</v>
      </c>
      <c r="M24" s="38" t="n">
        <v>89.9461</v>
      </c>
      <c r="N24" s="38" t="n">
        <v>124.8881</v>
      </c>
      <c r="O24" s="41" t="n">
        <v>1.81</v>
      </c>
      <c r="P24" s="42" t="n">
        <v>1.08</v>
      </c>
      <c r="Q24" s="38" t="n">
        <v>16.7</v>
      </c>
      <c r="R24" s="57" t="inlineStr">
        <is>
          <t>Avoid</t>
        </is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Large &amp; Mid Cap — Ranked Screener</t>
        </is>
      </c>
    </row>
    <row r="2" ht="15" customHeight="1">
      <c r="A2" s="18" t="inlineStr">
        <is>
          <t>SEBI mandate: Min 35% large cap + min 35% mid cap.   |   Data: March 2026   |   Universe: 29   |   Post-gates: 22</t>
        </is>
      </c>
    </row>
    <row r="3" ht="14" customHeight="1">
      <c r="A3" s="36" t="inlineStr">
        <is>
          <t>Gates: AUM ≥ ₹500 Cr  |  Track record ≥ 3Y  |  3Y Alpha &gt; −5%   |   Weights: Alpha 25%  Sharpe 25%  Consistency 25%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Bandhan Large &amp; Mid Cap Fund-Reg(G)</t>
        </is>
      </c>
      <c r="C6" s="24" t="inlineStr">
        <is>
          <t>Bandhan AMC Limited</t>
        </is>
      </c>
      <c r="D6" s="37" t="n">
        <v>14780.4033</v>
      </c>
      <c r="E6" s="38" t="n">
        <v>20.654794</v>
      </c>
      <c r="F6" s="24" t="inlineStr">
        <is>
          <t>NIFTY 50 - TRI</t>
        </is>
      </c>
      <c r="G6" s="40" t="n">
        <v>4.7258</v>
      </c>
      <c r="H6" s="40" t="n">
        <v>9.786900000000001</v>
      </c>
      <c r="I6" s="40" t="n">
        <v>6.8962</v>
      </c>
      <c r="J6" s="41" t="n">
        <v>0.381109700033019</v>
      </c>
      <c r="K6" s="41" t="n">
        <v>0.71122292269043</v>
      </c>
      <c r="L6" s="41" t="n">
        <v>3.9371</v>
      </c>
      <c r="M6" s="38" t="n">
        <v>107.4112</v>
      </c>
      <c r="N6" s="38" t="n">
        <v>90.98650000000001</v>
      </c>
      <c r="O6" s="41" t="n">
        <v>1.68</v>
      </c>
      <c r="P6" s="42" t="n">
        <v>1.14</v>
      </c>
      <c r="Q6" s="38" t="n">
        <v>93.40000000000001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ICICI Pru Large &amp; Mid Cap Fund(G)</t>
        </is>
      </c>
      <c r="C7" s="20" t="inlineStr">
        <is>
          <t>ICICI Prudential Asset Management Company Limited</t>
        </is>
      </c>
      <c r="D7" s="44" t="n">
        <v>28505.8981194564</v>
      </c>
      <c r="E7" s="45" t="n">
        <v>27.745205</v>
      </c>
      <c r="F7" s="20" t="inlineStr">
        <is>
          <t>NIFTY 50 - TRI</t>
        </is>
      </c>
      <c r="G7" s="47" t="n">
        <v>3.2393</v>
      </c>
      <c r="H7" s="47" t="n">
        <v>7.249599999999999</v>
      </c>
      <c r="I7" s="47" t="n">
        <v>7.7136</v>
      </c>
      <c r="J7" s="49" t="n">
        <v>0.385599330652027</v>
      </c>
      <c r="K7" s="49" t="n">
        <v>0.734560147642749</v>
      </c>
      <c r="L7" s="49" t="n">
        <v>3.4063</v>
      </c>
      <c r="M7" s="45" t="n">
        <v>92.458</v>
      </c>
      <c r="N7" s="45" t="n">
        <v>71.7342</v>
      </c>
      <c r="O7" s="49" t="n">
        <v>1.61</v>
      </c>
      <c r="P7" s="50" t="n">
        <v>0.8400000000000001</v>
      </c>
      <c r="Q7" s="45" t="n">
        <v>90.5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UTI Large &amp; Mid Cap Fund-Reg(G)</t>
        </is>
      </c>
      <c r="C8" s="24" t="inlineStr">
        <is>
          <t>UTI Asset Management Company Private Limited</t>
        </is>
      </c>
      <c r="D8" s="37" t="n">
        <v>5723.9407</v>
      </c>
      <c r="E8" s="38" t="n">
        <v>16.873972</v>
      </c>
      <c r="F8" s="24" t="inlineStr">
        <is>
          <t>NIFTY 50 - TRI</t>
        </is>
      </c>
      <c r="G8" s="40" t="n">
        <v>4.3235</v>
      </c>
      <c r="H8" s="40" t="n">
        <v>8.271499999999998</v>
      </c>
      <c r="I8" s="40" t="n">
        <v>5.964600000000001</v>
      </c>
      <c r="J8" s="41" t="n">
        <v>0.373473864384464</v>
      </c>
      <c r="K8" s="41" t="n">
        <v>0.709878872816457</v>
      </c>
      <c r="L8" s="41" t="n">
        <v>3.7975</v>
      </c>
      <c r="M8" s="38" t="n">
        <v>102.3421</v>
      </c>
      <c r="N8" s="38" t="n">
        <v>86.76349999999999</v>
      </c>
      <c r="O8" s="41" t="n">
        <v>1.83</v>
      </c>
      <c r="P8" s="42" t="n">
        <v>0.9600000000000001</v>
      </c>
      <c r="Q8" s="38" t="n">
        <v>86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Invesco India Large &amp; Mid Cap Fund-Reg(G)</t>
        </is>
      </c>
      <c r="C9" s="20" t="inlineStr">
        <is>
          <t>Invesco Asset Management Company Pvt Ltd.</t>
        </is>
      </c>
      <c r="D9" s="44" t="n">
        <v>9392.049300000001</v>
      </c>
      <c r="E9" s="45" t="n">
        <v>18.654794</v>
      </c>
      <c r="F9" s="20" t="inlineStr">
        <is>
          <t>NIFTY 50 - TRI</t>
        </is>
      </c>
      <c r="G9" s="47" t="n">
        <v>3.5573</v>
      </c>
      <c r="H9" s="47" t="n">
        <v>9.6488</v>
      </c>
      <c r="I9" s="47" t="n">
        <v>4.9137</v>
      </c>
      <c r="J9" s="49" t="n">
        <v>0.339178677498253</v>
      </c>
      <c r="K9" s="49" t="n">
        <v>0.608035937989352</v>
      </c>
      <c r="L9" s="49" t="n">
        <v>4.5792</v>
      </c>
      <c r="M9" s="45" t="n">
        <v>114.1327</v>
      </c>
      <c r="N9" s="45" t="n">
        <v>105.1496</v>
      </c>
      <c r="O9" s="49" t="n">
        <v>1.75</v>
      </c>
      <c r="P9" s="50" t="n">
        <v>1.15</v>
      </c>
      <c r="Q9" s="45" t="n">
        <v>81.5</v>
      </c>
      <c r="R9" s="43" t="inlineStr">
        <is>
          <t>Strong Buy</t>
        </is>
      </c>
    </row>
    <row r="10" ht="16" customHeight="1">
      <c r="A10" s="26" t="n">
        <v>5</v>
      </c>
      <c r="B10" s="24" t="inlineStr">
        <is>
          <t>Motilal Oswal Large &amp; Midcap Fund-Reg(G)</t>
        </is>
      </c>
      <c r="C10" s="24" t="inlineStr">
        <is>
          <t>Motilal Oswal Asset Management Company Limited</t>
        </is>
      </c>
      <c r="D10" s="37" t="n">
        <v>15017.3071</v>
      </c>
      <c r="E10" s="38" t="n">
        <v>6.457534</v>
      </c>
      <c r="F10" s="24" t="inlineStr">
        <is>
          <t>NIFTY 50 - TRI</t>
        </is>
      </c>
      <c r="G10" s="40" t="n">
        <v>5.3526</v>
      </c>
      <c r="H10" s="40" t="n">
        <v>10.3703</v>
      </c>
      <c r="I10" s="40" t="n">
        <v>7.452300000000001</v>
      </c>
      <c r="J10" s="41" t="n">
        <v>0.301162900616263</v>
      </c>
      <c r="K10" s="41" t="n">
        <v>0.528240227026338</v>
      </c>
      <c r="L10" s="41" t="n">
        <v>5.5009</v>
      </c>
      <c r="M10" s="38" t="n">
        <v>125.307</v>
      </c>
      <c r="N10" s="38" t="n">
        <v>126.2566</v>
      </c>
      <c r="O10" s="41" t="n">
        <v>1.69</v>
      </c>
      <c r="P10" s="42" t="n">
        <v>0.9399999999999999</v>
      </c>
      <c r="Q10" s="38" t="n">
        <v>78.09999999999999</v>
      </c>
      <c r="R10" s="43" t="inlineStr">
        <is>
          <t>Strong Buy</t>
        </is>
      </c>
    </row>
    <row r="11" ht="16" customHeight="1">
      <c r="A11" s="22" t="n">
        <v>6</v>
      </c>
      <c r="B11" s="20" t="inlineStr">
        <is>
          <t>Axis Large &amp; Mid Cap Fund-Reg(G)</t>
        </is>
      </c>
      <c r="C11" s="20" t="inlineStr">
        <is>
          <t>Axis Asset Management Company Ltd.</t>
        </is>
      </c>
      <c r="D11" s="44" t="n">
        <v>15559.488798</v>
      </c>
      <c r="E11" s="45" t="n">
        <v>7.443835</v>
      </c>
      <c r="F11" s="20" t="inlineStr">
        <is>
          <t>NIFTY 50 - TRI</t>
        </is>
      </c>
      <c r="G11" s="47" t="n">
        <v>3.2983</v>
      </c>
      <c r="H11" s="47" t="n">
        <v>6.047199999999998</v>
      </c>
      <c r="I11" s="47" t="n">
        <v>3.3513</v>
      </c>
      <c r="J11" s="49" t="n">
        <v>0.343534157413991</v>
      </c>
      <c r="K11" s="49" t="n">
        <v>0.645578682290061</v>
      </c>
      <c r="L11" s="49" t="n">
        <v>3.6566</v>
      </c>
      <c r="M11" s="45" t="n">
        <v>93.3503</v>
      </c>
      <c r="N11" s="45" t="n">
        <v>80.7462</v>
      </c>
      <c r="O11" s="49" t="n">
        <v>1.68</v>
      </c>
      <c r="P11" s="50" t="n">
        <v>1.08</v>
      </c>
      <c r="Q11" s="45" t="n">
        <v>75.3</v>
      </c>
      <c r="R11" s="43" t="inlineStr">
        <is>
          <t>Strong Buy</t>
        </is>
      </c>
    </row>
    <row r="12" ht="16" customHeight="1">
      <c r="A12" s="26" t="n">
        <v>7</v>
      </c>
      <c r="B12" s="24" t="inlineStr">
        <is>
          <t>DSP Large &amp; Mid Cap Fund-Reg(G)</t>
        </is>
      </c>
      <c r="C12" s="24" t="inlineStr">
        <is>
          <t>DSP Investment Managers Private Limited</t>
        </is>
      </c>
      <c r="D12" s="37" t="n">
        <v>17652.612</v>
      </c>
      <c r="E12" s="38" t="n">
        <v>25.89041</v>
      </c>
      <c r="F12" s="24" t="inlineStr">
        <is>
          <t>NIFTY 50 - TRI</t>
        </is>
      </c>
      <c r="G12" s="39" t="n">
        <v>0.2048000000000001</v>
      </c>
      <c r="H12" s="40" t="n">
        <v>6.587999999999999</v>
      </c>
      <c r="I12" s="40" t="n">
        <v>3.873800000000001</v>
      </c>
      <c r="J12" s="41" t="n">
        <v>0.332346413306555</v>
      </c>
      <c r="K12" s="41" t="n">
        <v>0.623950790351428</v>
      </c>
      <c r="L12" s="41" t="n">
        <v>3.8838</v>
      </c>
      <c r="M12" s="38" t="n">
        <v>98.4314</v>
      </c>
      <c r="N12" s="38" t="n">
        <v>90.134</v>
      </c>
      <c r="O12" s="41" t="n">
        <v>1.66</v>
      </c>
      <c r="P12" s="42" t="n">
        <v>1.03</v>
      </c>
      <c r="Q12" s="38" t="n">
        <v>71.2</v>
      </c>
      <c r="R12" s="51" t="inlineStr">
        <is>
          <t>Buy</t>
        </is>
      </c>
    </row>
    <row r="13" ht="16" customHeight="1">
      <c r="A13" s="22" t="n">
        <v>8</v>
      </c>
      <c r="B13" s="20" t="inlineStr">
        <is>
          <t>Kotak Large &amp; Midcap Fund(G)</t>
        </is>
      </c>
      <c r="C13" s="20" t="inlineStr">
        <is>
          <t>Kotak Mahindra Asset Management Company Limited</t>
        </is>
      </c>
      <c r="D13" s="44" t="n">
        <v>30712.48</v>
      </c>
      <c r="E13" s="45" t="n">
        <v>21.569863</v>
      </c>
      <c r="F13" s="20" t="inlineStr">
        <is>
          <t>NIFTY 50 - TRI</t>
        </is>
      </c>
      <c r="G13" s="47" t="n">
        <v>4.3937</v>
      </c>
      <c r="H13" s="47" t="n">
        <v>5.242599999999999</v>
      </c>
      <c r="I13" s="47" t="n">
        <v>4.067500000000001</v>
      </c>
      <c r="J13" s="49" t="n">
        <v>0.319648829874639</v>
      </c>
      <c r="K13" s="49" t="n">
        <v>0.557177769564816</v>
      </c>
      <c r="L13" s="49" t="n">
        <v>3.7731</v>
      </c>
      <c r="M13" s="45" t="n">
        <v>95.25709999999999</v>
      </c>
      <c r="N13" s="45" t="n">
        <v>90.5261</v>
      </c>
      <c r="O13" s="49" t="n">
        <v>1.57</v>
      </c>
      <c r="P13" s="50" t="n">
        <v>1.02</v>
      </c>
      <c r="Q13" s="45" t="n">
        <v>69</v>
      </c>
      <c r="R13" s="51" t="inlineStr">
        <is>
          <t>Buy</t>
        </is>
      </c>
    </row>
    <row r="14" ht="16" customHeight="1">
      <c r="A14" s="26" t="n">
        <v>9</v>
      </c>
      <c r="B14" s="24" t="inlineStr">
        <is>
          <t>HSBC Large &amp; Mid Cap Fund-Reg(G)</t>
        </is>
      </c>
      <c r="C14" s="24" t="inlineStr">
        <is>
          <t>HSBC Global Asset Management (India) Private Limited</t>
        </is>
      </c>
      <c r="D14" s="37" t="n">
        <v>4706.0287</v>
      </c>
      <c r="E14" s="38" t="n">
        <v>7.013698</v>
      </c>
      <c r="F14" s="24" t="inlineStr">
        <is>
          <t>NIFTY 50 - TRI</t>
        </is>
      </c>
      <c r="G14" s="40" t="n">
        <v>7.1085</v>
      </c>
      <c r="H14" s="40" t="n">
        <v>6.761999999999999</v>
      </c>
      <c r="I14" s="40" t="n">
        <v>3.606199999999999</v>
      </c>
      <c r="J14" s="41" t="n">
        <v>0.278160655534173</v>
      </c>
      <c r="K14" s="41" t="n">
        <v>0.457451507520588</v>
      </c>
      <c r="L14" s="41" t="n">
        <v>4.8327</v>
      </c>
      <c r="M14" s="38" t="n">
        <v>110.2005</v>
      </c>
      <c r="N14" s="38" t="n">
        <v>117.3746</v>
      </c>
      <c r="O14" s="41" t="n">
        <v>1.89</v>
      </c>
      <c r="P14" s="42" t="n">
        <v>1.1</v>
      </c>
      <c r="Q14" s="38" t="n">
        <v>58</v>
      </c>
      <c r="R14" s="52" t="inlineStr">
        <is>
          <t>Hold</t>
        </is>
      </c>
    </row>
    <row r="15" ht="16" customHeight="1">
      <c r="A15" s="22" t="n">
        <v>10</v>
      </c>
      <c r="B15" s="20" t="inlineStr">
        <is>
          <t>Edelweiss Large &amp; Mid Cap Fund-Reg(G)</t>
        </is>
      </c>
      <c r="C15" s="20" t="inlineStr">
        <is>
          <t>Edelweiss Asset Management Limited</t>
        </is>
      </c>
      <c r="D15" s="44" t="n">
        <v>4485.4255</v>
      </c>
      <c r="E15" s="45" t="n">
        <v>18.808219</v>
      </c>
      <c r="F15" s="20" t="inlineStr">
        <is>
          <t>NIFTY 50 - TRI</t>
        </is>
      </c>
      <c r="G15" s="47" t="n">
        <v>3.5055</v>
      </c>
      <c r="H15" s="47" t="n">
        <v>5.221299999999999</v>
      </c>
      <c r="I15" s="47" t="n">
        <v>3.0707</v>
      </c>
      <c r="J15" s="49" t="n">
        <v>0.300202702702703</v>
      </c>
      <c r="K15" s="49" t="n">
        <v>0.546436997073884</v>
      </c>
      <c r="L15" s="49" t="n">
        <v>3.9812</v>
      </c>
      <c r="M15" s="45" t="n">
        <v>98.8129</v>
      </c>
      <c r="N15" s="45" t="n">
        <v>100.7956</v>
      </c>
      <c r="O15" s="49" t="n">
        <v>1.84</v>
      </c>
      <c r="P15" s="50" t="n">
        <v>1.42</v>
      </c>
      <c r="Q15" s="45" t="n">
        <v>57.4</v>
      </c>
      <c r="R15" s="52" t="inlineStr">
        <is>
          <t>Hold</t>
        </is>
      </c>
    </row>
    <row r="16" ht="16" customHeight="1">
      <c r="A16" s="26" t="n">
        <v>11</v>
      </c>
      <c r="B16" s="24" t="inlineStr">
        <is>
          <t>Nippon India Vision Large &amp; Mid Cap Fund(G)</t>
        </is>
      </c>
      <c r="C16" s="24" t="inlineStr">
        <is>
          <t>Nippon Life India Asset Management Limited</t>
        </is>
      </c>
      <c r="D16" s="37" t="n">
        <v>6962.8138</v>
      </c>
      <c r="E16" s="38" t="n">
        <v>30.49863</v>
      </c>
      <c r="F16" s="24" t="inlineStr">
        <is>
          <t>BSE SENSEX - TRI</t>
        </is>
      </c>
      <c r="G16" s="56" t="n">
        <v>-7.183199999999999</v>
      </c>
      <c r="H16" s="39" t="n">
        <v>0.5709000000000017</v>
      </c>
      <c r="I16" s="56" t="n">
        <v>-5.1296</v>
      </c>
      <c r="J16" s="41" t="n">
        <v>0.337893534560201</v>
      </c>
      <c r="K16" s="41" t="n">
        <v>0.632035623409669</v>
      </c>
      <c r="L16" s="41" t="n">
        <v>3.8961</v>
      </c>
      <c r="M16" s="38" t="n">
        <v>100.3929</v>
      </c>
      <c r="N16" s="38" t="n">
        <v>92.4019</v>
      </c>
      <c r="O16" s="41" t="n">
        <v>1.87</v>
      </c>
      <c r="P16" s="42" t="n">
        <v>0.75</v>
      </c>
      <c r="Q16" s="38" t="n">
        <v>49.6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LIC MF Large &amp; Midcap Fund-Reg(G)</t>
        </is>
      </c>
      <c r="C17" s="20" t="inlineStr">
        <is>
          <t>LIC Mutual Fund Asset Management Limited</t>
        </is>
      </c>
      <c r="D17" s="44" t="n">
        <v>3045.0609</v>
      </c>
      <c r="E17" s="45" t="n">
        <v>11.101369</v>
      </c>
      <c r="F17" s="20" t="inlineStr">
        <is>
          <t>NIFTY 50 - TRI</t>
        </is>
      </c>
      <c r="G17" s="46" t="n">
        <v>-1.9549</v>
      </c>
      <c r="H17" s="47" t="n">
        <v>4.2334</v>
      </c>
      <c r="I17" s="48" t="n">
        <v>2.0619</v>
      </c>
      <c r="J17" s="49" t="n">
        <v>0.273908797899009</v>
      </c>
      <c r="K17" s="49" t="n">
        <v>0.51560244483394</v>
      </c>
      <c r="L17" s="49" t="n">
        <v>4.1885</v>
      </c>
      <c r="M17" s="45" t="n">
        <v>97.3359</v>
      </c>
      <c r="N17" s="45" t="n">
        <v>102.717</v>
      </c>
      <c r="O17" s="49" t="n">
        <v>1.92</v>
      </c>
      <c r="P17" s="50" t="n">
        <v>1.28</v>
      </c>
      <c r="Q17" s="45" t="n">
        <v>46.2</v>
      </c>
      <c r="R17" s="52" t="inlineStr">
        <is>
          <t>Hold</t>
        </is>
      </c>
    </row>
    <row r="18" ht="16" customHeight="1">
      <c r="A18" s="26" t="n">
        <v>13</v>
      </c>
      <c r="B18" s="24" t="inlineStr">
        <is>
          <t>HDFC Large and Mid Cap Fund-Reg(G)</t>
        </is>
      </c>
      <c r="C18" s="24" t="inlineStr">
        <is>
          <t>HDFC Asset Management Company Limited</t>
        </is>
      </c>
      <c r="D18" s="37" t="n">
        <v>28580.0307</v>
      </c>
      <c r="E18" s="38" t="n">
        <v>32.134246</v>
      </c>
      <c r="F18" s="24" t="inlineStr">
        <is>
          <t>BSE SENSEX - TRI</t>
        </is>
      </c>
      <c r="G18" s="56" t="n">
        <v>-7.8038</v>
      </c>
      <c r="H18" s="54" t="n">
        <v>-0.4321999999999981</v>
      </c>
      <c r="I18" s="56" t="n">
        <v>-4.063099999999999</v>
      </c>
      <c r="J18" s="41" t="n">
        <v>0.312456140350877</v>
      </c>
      <c r="K18" s="41" t="n">
        <v>0.579807063590735</v>
      </c>
      <c r="L18" s="41" t="n">
        <v>4.0299</v>
      </c>
      <c r="M18" s="38" t="n">
        <v>101.9198</v>
      </c>
      <c r="N18" s="38" t="n">
        <v>102.2103</v>
      </c>
      <c r="O18" s="41" t="n">
        <v>1.62</v>
      </c>
      <c r="P18" s="42" t="n">
        <v>0.7600000000000001</v>
      </c>
      <c r="Q18" s="38" t="n">
        <v>44.4</v>
      </c>
      <c r="R18" s="55" t="inlineStr">
        <is>
          <t>Underweight</t>
        </is>
      </c>
    </row>
    <row r="19" ht="16" customHeight="1">
      <c r="A19" s="22" t="n">
        <v>14</v>
      </c>
      <c r="B19" s="20" t="inlineStr">
        <is>
          <t>Baroda BNP Paribas Large &amp; Mid Cap Fund-Reg(G)</t>
        </is>
      </c>
      <c r="C19" s="20" t="inlineStr">
        <is>
          <t>Baroda BNP Paribas Asset Management India Pvt. Ltd.</t>
        </is>
      </c>
      <c r="D19" s="44" t="n">
        <v>1726.3395</v>
      </c>
      <c r="E19" s="45" t="n">
        <v>5.572602</v>
      </c>
      <c r="F19" s="20" t="inlineStr">
        <is>
          <t>NIFTY 50 - TRI</t>
        </is>
      </c>
      <c r="G19" s="46" t="n">
        <v>-0.09619999999999962</v>
      </c>
      <c r="H19" s="47" t="n">
        <v>4.0708</v>
      </c>
      <c r="I19" s="47" t="n">
        <v>3.3545</v>
      </c>
      <c r="J19" s="49" t="n">
        <v>0.27439422259983</v>
      </c>
      <c r="K19" s="49" t="n">
        <v>0.488511603785816</v>
      </c>
      <c r="L19" s="49" t="n">
        <v>4.1195</v>
      </c>
      <c r="M19" s="45" t="n">
        <v>123.8461</v>
      </c>
      <c r="N19" s="45" t="n">
        <v>112.6464</v>
      </c>
      <c r="O19" s="49" t="n">
        <v>2.09</v>
      </c>
      <c r="P19" s="50" t="n">
        <v>1.25</v>
      </c>
      <c r="Q19" s="45" t="n">
        <v>44.1</v>
      </c>
      <c r="R19" s="55" t="inlineStr">
        <is>
          <t>Underweight</t>
        </is>
      </c>
    </row>
    <row r="20" ht="16" customHeight="1">
      <c r="A20" s="26" t="n">
        <v>15</v>
      </c>
      <c r="B20" s="24" t="inlineStr">
        <is>
          <t>Sundaram Large and Mid Cap Fund(G)</t>
        </is>
      </c>
      <c r="C20" s="24" t="inlineStr">
        <is>
          <t>Sundaram Asset Management Company Limited</t>
        </is>
      </c>
      <c r="D20" s="37" t="n">
        <v>6867.642281</v>
      </c>
      <c r="E20" s="38" t="n">
        <v>19.101369</v>
      </c>
      <c r="F20" s="24" t="inlineStr">
        <is>
          <t>NIFTY 50 - TRI</t>
        </is>
      </c>
      <c r="G20" s="39" t="n">
        <v>1.2222</v>
      </c>
      <c r="H20" s="40" t="n">
        <v>3.2156</v>
      </c>
      <c r="I20" s="39" t="n">
        <v>1.8786</v>
      </c>
      <c r="J20" s="41" t="n">
        <v>0.265585114602112</v>
      </c>
      <c r="K20" s="41" t="n">
        <v>0.459853295282262</v>
      </c>
      <c r="L20" s="41" t="n">
        <v>3.883</v>
      </c>
      <c r="M20" s="38" t="n">
        <v>91.8326</v>
      </c>
      <c r="N20" s="38" t="n">
        <v>99.6972</v>
      </c>
      <c r="O20" s="41" t="n">
        <v>1.8</v>
      </c>
      <c r="P20" s="42" t="n">
        <v>1.13</v>
      </c>
      <c r="Q20" s="38" t="n">
        <v>36.7</v>
      </c>
      <c r="R20" s="55" t="inlineStr">
        <is>
          <t>Underweight</t>
        </is>
      </c>
    </row>
    <row r="21" ht="16" customHeight="1">
      <c r="A21" s="22" t="n">
        <v>16</v>
      </c>
      <c r="B21" s="20" t="inlineStr">
        <is>
          <t>Mahindra Manulife Large &amp; Mid Cap Fund-Reg(G)</t>
        </is>
      </c>
      <c r="C21" s="20" t="inlineStr">
        <is>
          <t>Mahindra Manulife Investment Management Private Limited</t>
        </is>
      </c>
      <c r="D21" s="44" t="n">
        <v>2730.0184</v>
      </c>
      <c r="E21" s="45" t="n">
        <v>6.254794</v>
      </c>
      <c r="F21" s="20" t="inlineStr">
        <is>
          <t>NIFTY 50 - TRI</t>
        </is>
      </c>
      <c r="G21" s="48" t="n">
        <v>1.8404</v>
      </c>
      <c r="H21" s="47" t="n">
        <v>3.68</v>
      </c>
      <c r="I21" s="47" t="n">
        <v>3.058400000000001</v>
      </c>
      <c r="J21" s="49" t="n">
        <v>0.257865516157881</v>
      </c>
      <c r="K21" s="49" t="n">
        <v>0.475961186705331</v>
      </c>
      <c r="L21" s="49" t="n">
        <v>4.1373</v>
      </c>
      <c r="M21" s="45" t="n">
        <v>97.19629999999999</v>
      </c>
      <c r="N21" s="45" t="n">
        <v>110.0745</v>
      </c>
      <c r="O21" s="49" t="n">
        <v>1.94</v>
      </c>
      <c r="P21" s="50" t="n">
        <v>1.38</v>
      </c>
      <c r="Q21" s="45" t="n">
        <v>35.9</v>
      </c>
      <c r="R21" s="55" t="inlineStr">
        <is>
          <t>Underweight</t>
        </is>
      </c>
    </row>
    <row r="22" ht="16" customHeight="1">
      <c r="A22" s="26" t="n">
        <v>16</v>
      </c>
      <c r="B22" s="24" t="inlineStr">
        <is>
          <t>Franklin India Large &amp; Mid Cap Fund(G)</t>
        </is>
      </c>
      <c r="C22" s="24" t="inlineStr">
        <is>
          <t>Franklin Templeton Asset Management (India) Private Limited</t>
        </is>
      </c>
      <c r="D22" s="37" t="n">
        <v>3463.618708706</v>
      </c>
      <c r="E22" s="38" t="n">
        <v>21.09315</v>
      </c>
      <c r="F22" s="24" t="inlineStr">
        <is>
          <t>NIFTY 50 - TRI</t>
        </is>
      </c>
      <c r="G22" s="39" t="n">
        <v>1.3073</v>
      </c>
      <c r="H22" s="39" t="n">
        <v>2.937999999999999</v>
      </c>
      <c r="I22" s="39" t="n">
        <v>1.4331</v>
      </c>
      <c r="J22" s="41" t="n">
        <v>0.260868897279</v>
      </c>
      <c r="K22" s="41" t="n">
        <v>0.495140357813581</v>
      </c>
      <c r="L22" s="41" t="n">
        <v>3.8405</v>
      </c>
      <c r="M22" s="38" t="n">
        <v>89.71510000000001</v>
      </c>
      <c r="N22" s="38" t="n">
        <v>97.2396</v>
      </c>
      <c r="O22" s="41" t="n">
        <v>2.02</v>
      </c>
      <c r="P22" s="42" t="n">
        <v>0.6899999999999999</v>
      </c>
      <c r="Q22" s="38" t="n">
        <v>35.9</v>
      </c>
      <c r="R22" s="55" t="inlineStr">
        <is>
          <t>Underweight</t>
        </is>
      </c>
    </row>
    <row r="23" ht="16" customHeight="1">
      <c r="A23" s="22" t="n">
        <v>18</v>
      </c>
      <c r="B23" s="20" t="inlineStr">
        <is>
          <t>Mirae Asset Large &amp; Midcap Fund-Reg(G)</t>
        </is>
      </c>
      <c r="C23" s="20" t="inlineStr">
        <is>
          <t>Mirae Asset Investment Managers (India) Private Limited</t>
        </is>
      </c>
      <c r="D23" s="44" t="n">
        <v>42943.1028</v>
      </c>
      <c r="E23" s="45" t="n">
        <v>15.736986</v>
      </c>
      <c r="F23" s="20" t="inlineStr">
        <is>
          <t>BSE SENSEX - TRI</t>
        </is>
      </c>
      <c r="G23" s="53" t="n">
        <v>-4.3344</v>
      </c>
      <c r="H23" s="46" t="n">
        <v>-2.741599999999998</v>
      </c>
      <c r="I23" s="53" t="n">
        <v>-7.939</v>
      </c>
      <c r="J23" s="49" t="n">
        <v>0.273231766200762</v>
      </c>
      <c r="K23" s="49" t="n">
        <v>0.48949100842249</v>
      </c>
      <c r="L23" s="49" t="n">
        <v>3.935</v>
      </c>
      <c r="M23" s="45" t="n">
        <v>95.54730000000001</v>
      </c>
      <c r="N23" s="45" t="n">
        <v>104.5275</v>
      </c>
      <c r="O23" s="49" t="n">
        <v>1.51</v>
      </c>
      <c r="P23" s="50" t="n">
        <v>0.9400000000000001</v>
      </c>
      <c r="Q23" s="45" t="n">
        <v>30.2</v>
      </c>
      <c r="R23" s="55" t="inlineStr">
        <is>
          <t>Underweight</t>
        </is>
      </c>
    </row>
    <row r="24" ht="16" customHeight="1">
      <c r="A24" s="26" t="n">
        <v>19</v>
      </c>
      <c r="B24" s="24" t="inlineStr">
        <is>
          <t>Quant Large &amp; Mid Cap Fund(G)</t>
        </is>
      </c>
      <c r="C24" s="24" t="inlineStr">
        <is>
          <t>Quant Money Managers Limited</t>
        </is>
      </c>
      <c r="D24" s="37" t="n">
        <v>3069.9059</v>
      </c>
      <c r="E24" s="38" t="n">
        <v>19.315068</v>
      </c>
      <c r="F24" s="24" t="inlineStr">
        <is>
          <t>NIFTY 50 - TRI</t>
        </is>
      </c>
      <c r="G24" s="56" t="n">
        <v>-4.8963</v>
      </c>
      <c r="H24" s="39" t="n">
        <v>2.710699999999999</v>
      </c>
      <c r="I24" s="40" t="n">
        <v>4.1938</v>
      </c>
      <c r="J24" s="41" t="n">
        <v>0.213240238430112</v>
      </c>
      <c r="K24" s="41" t="n">
        <v>0.402514538558786</v>
      </c>
      <c r="L24" s="41" t="n">
        <v>4.4793</v>
      </c>
      <c r="M24" s="38" t="n">
        <v>95.89619999999999</v>
      </c>
      <c r="N24" s="38" t="n">
        <v>119.2341</v>
      </c>
      <c r="O24" s="41" t="n">
        <v>1.97</v>
      </c>
      <c r="P24" s="42" t="n">
        <v>1.19</v>
      </c>
      <c r="Q24" s="38" t="n">
        <v>24.3</v>
      </c>
      <c r="R24" s="57" t="inlineStr">
        <is>
          <t>Avoid</t>
        </is>
      </c>
    </row>
    <row r="25" ht="16" customHeight="1">
      <c r="A25" s="22" t="n">
        <v>20</v>
      </c>
      <c r="B25" s="20" t="inlineStr">
        <is>
          <t>Union Large &amp; Midcap Fund-Reg(G)</t>
        </is>
      </c>
      <c r="C25" s="20" t="inlineStr">
        <is>
          <t>Union Asset Management Company Pvt. Ltd.</t>
        </is>
      </c>
      <c r="D25" s="44" t="n">
        <v>934.5909</v>
      </c>
      <c r="E25" s="45" t="n">
        <v>6.320547</v>
      </c>
      <c r="F25" s="20" t="inlineStr">
        <is>
          <t>BSE SENSEX - TRI</t>
        </is>
      </c>
      <c r="G25" s="53" t="n">
        <v>-5.882499999999999</v>
      </c>
      <c r="H25" s="53" t="n">
        <v>-3.093299999999997</v>
      </c>
      <c r="I25" s="53" t="n">
        <v>-7.623199999999999</v>
      </c>
      <c r="J25" s="49" t="n">
        <v>0.2600007525587</v>
      </c>
      <c r="K25" s="49" t="n">
        <v>0.453576211106735</v>
      </c>
      <c r="L25" s="49" t="n">
        <v>3.9864</v>
      </c>
      <c r="M25" s="45" t="n">
        <v>93.35299999999999</v>
      </c>
      <c r="N25" s="45" t="n">
        <v>103.2415</v>
      </c>
      <c r="O25" s="49" t="n">
        <v>2.26</v>
      </c>
      <c r="P25" s="50" t="n">
        <v>1.25</v>
      </c>
      <c r="Q25" s="45" t="n">
        <v>15.6</v>
      </c>
      <c r="R25" s="57" t="inlineStr">
        <is>
          <t>Avoid</t>
        </is>
      </c>
    </row>
    <row r="26" ht="16" customHeight="1">
      <c r="A26" s="26" t="n">
        <v>21</v>
      </c>
      <c r="B26" s="24" t="inlineStr">
        <is>
          <t>Tata Large &amp; Mid Cap Fund-Reg(G)</t>
        </is>
      </c>
      <c r="C26" s="24" t="inlineStr">
        <is>
          <t>Tata Asset Management Private Limited</t>
        </is>
      </c>
      <c r="D26" s="37" t="n">
        <v>8143.284410193</v>
      </c>
      <c r="E26" s="38" t="n">
        <v>33.115068</v>
      </c>
      <c r="F26" s="24" t="inlineStr">
        <is>
          <t>NIFTY 50 - TRI</t>
        </is>
      </c>
      <c r="G26" s="56" t="n">
        <v>-8.054499999999999</v>
      </c>
      <c r="H26" s="54" t="n">
        <v>-2.4969</v>
      </c>
      <c r="I26" s="54" t="n">
        <v>-0.7584999999999997</v>
      </c>
      <c r="J26" s="41" t="n">
        <v>0.170306894431524</v>
      </c>
      <c r="K26" s="41" t="n">
        <v>0.292071795342014</v>
      </c>
      <c r="L26" s="41" t="n">
        <v>3.7407</v>
      </c>
      <c r="M26" s="38" t="n">
        <v>78.3742</v>
      </c>
      <c r="N26" s="38" t="n">
        <v>105.3086</v>
      </c>
      <c r="O26" s="41" t="n">
        <v>1.78</v>
      </c>
      <c r="P26" s="42" t="n">
        <v>1.06</v>
      </c>
      <c r="Q26" s="38" t="n">
        <v>13.9</v>
      </c>
      <c r="R26" s="57" t="inlineStr">
        <is>
          <t>Avoid</t>
        </is>
      </c>
    </row>
    <row r="27" ht="16" customHeight="1">
      <c r="A27" s="22" t="n">
        <v>22</v>
      </c>
      <c r="B27" s="20" t="inlineStr">
        <is>
          <t>Canara Rob Large and Mid Cap Fund-Reg(G)</t>
        </is>
      </c>
      <c r="C27" s="20" t="inlineStr">
        <is>
          <t>Canara Robeco Asset Management Company Limited</t>
        </is>
      </c>
      <c r="D27" s="44" t="n">
        <v>24730.5199</v>
      </c>
      <c r="E27" s="45" t="n">
        <v>21.068493</v>
      </c>
      <c r="F27" s="20" t="inlineStr">
        <is>
          <t>BSE SENSEX - TRI</t>
        </is>
      </c>
      <c r="G27" s="53" t="n">
        <v>-10.5551</v>
      </c>
      <c r="H27" s="53" t="n">
        <v>-4.077399999999999</v>
      </c>
      <c r="I27" s="53" t="n">
        <v>-8.306299999999998</v>
      </c>
      <c r="J27" s="49" t="n">
        <v>0.238821395968518</v>
      </c>
      <c r="K27" s="49" t="n">
        <v>0.434689689240165</v>
      </c>
      <c r="L27" s="49" t="n">
        <v>4.0531</v>
      </c>
      <c r="M27" s="45" t="n">
        <v>90.61750000000001</v>
      </c>
      <c r="N27" s="45" t="n">
        <v>103.588</v>
      </c>
      <c r="O27" s="49" t="n">
        <v>1.62</v>
      </c>
      <c r="P27" s="50" t="n">
        <v>1.01</v>
      </c>
      <c r="Q27" s="45" t="n">
        <v>12.6</v>
      </c>
      <c r="R27" s="57" t="inlineStr">
        <is>
          <t>Avoid</t>
        </is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11" customWidth="1" min="4" max="4"/>
    <col width="9" customWidth="1" min="5" max="5"/>
    <col width="22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12" customWidth="1" min="12" max="12"/>
    <col width="9" customWidth="1" min="13" max="13"/>
    <col width="9" customWidth="1" min="14" max="14"/>
    <col width="8" customWidth="1" min="15" max="15"/>
    <col width="9" customWidth="1" min="16" max="16"/>
    <col width="10" customWidth="1" min="17" max="17"/>
    <col width="12" customWidth="1" min="18" max="18"/>
  </cols>
  <sheetData>
    <row r="1" ht="28" customHeight="1">
      <c r="A1" s="4" t="inlineStr">
        <is>
          <t>Focused Fund — Ranked Screener</t>
        </is>
      </c>
    </row>
    <row r="2" ht="15" customHeight="1">
      <c r="A2" s="18" t="inlineStr">
        <is>
          <t>SEBI mandate: Max 30 stocks. Min 65% equity. High-conviction, concentrated portfolio.   |   Data: March 2026   |   Universe: 28   |   Post-gates: 19</t>
        </is>
      </c>
    </row>
    <row r="3" ht="14" customHeight="1">
      <c r="A3" s="36" t="inlineStr">
        <is>
          <t>Gates: AUM ≥ ₹500 Cr  |  Track record ≥ 3Y  |  3Y Alpha &gt; −5%   |   Weights: Alpha 25%  Sharpe 25%  Consistency 25%  Sortino 20%  Cost 5%</t>
        </is>
      </c>
    </row>
    <row r="4" ht="6" customHeight="1"/>
    <row r="5" ht="24" customHeight="1">
      <c r="A5" s="19" t="inlineStr">
        <is>
          <t>#</t>
        </is>
      </c>
      <c r="B5" s="19" t="inlineStr">
        <is>
          <t>Fund Name</t>
        </is>
      </c>
      <c r="C5" s="19" t="inlineStr">
        <is>
          <t>AMC</t>
        </is>
      </c>
      <c r="D5" s="19" t="inlineStr">
        <is>
          <t>AUM (₹ Cr)</t>
        </is>
      </c>
      <c r="E5" s="19" t="inlineStr">
        <is>
          <t>Age (Yrs)</t>
        </is>
      </c>
      <c r="F5" s="19" t="inlineStr">
        <is>
          <t>Benchmark</t>
        </is>
      </c>
      <c r="G5" s="19" t="inlineStr">
        <is>
          <t>1Y Alpha</t>
        </is>
      </c>
      <c r="H5" s="19" t="inlineStr">
        <is>
          <t>3Y Alpha</t>
        </is>
      </c>
      <c r="I5" s="19" t="inlineStr">
        <is>
          <t>5Y Alpha</t>
        </is>
      </c>
      <c r="J5" s="19" t="inlineStr">
        <is>
          <t>Sharpe (3Y)</t>
        </is>
      </c>
      <c r="K5" s="19" t="inlineStr">
        <is>
          <t>Sortino (3Y)</t>
        </is>
      </c>
      <c r="L5" s="19" t="inlineStr">
        <is>
          <t>Std Dev (3Y, %)</t>
        </is>
      </c>
      <c r="M5" s="19" t="inlineStr">
        <is>
          <t>Up Cap</t>
        </is>
      </c>
      <c r="N5" s="19" t="inlineStr">
        <is>
          <t>Dn Cap</t>
        </is>
      </c>
      <c r="O5" s="19" t="inlineStr">
        <is>
          <t>ER (%)</t>
        </is>
      </c>
      <c r="P5" s="19" t="inlineStr">
        <is>
          <t>ER Spread</t>
        </is>
      </c>
      <c r="Q5" s="19" t="inlineStr">
        <is>
          <t>Composite</t>
        </is>
      </c>
      <c r="R5" s="19" t="inlineStr">
        <is>
          <t>Rating</t>
        </is>
      </c>
    </row>
    <row r="6" ht="16" customHeight="1">
      <c r="A6" s="26" t="n">
        <v>1</v>
      </c>
      <c r="B6" s="24" t="inlineStr">
        <is>
          <t>ICICI Pru Focused Equity Fund(G)</t>
        </is>
      </c>
      <c r="C6" s="24" t="inlineStr">
        <is>
          <t>ICICI Prudential Asset Management Company Limited</t>
        </is>
      </c>
      <c r="D6" s="37" t="n">
        <v>15145.3953314542</v>
      </c>
      <c r="E6" s="38" t="n">
        <v>16.852054</v>
      </c>
      <c r="F6" s="24" t="inlineStr">
        <is>
          <t>NIFTY 50 - TRI</t>
        </is>
      </c>
      <c r="G6" s="40" t="n">
        <v>3.1831</v>
      </c>
      <c r="H6" s="40" t="n">
        <v>7.7403</v>
      </c>
      <c r="I6" s="40" t="n">
        <v>6.1675</v>
      </c>
      <c r="J6" s="41" t="n">
        <v>0.37791295693574</v>
      </c>
      <c r="K6" s="41" t="n">
        <v>0.661846146598832</v>
      </c>
      <c r="L6" s="41" t="n">
        <v>3.7177</v>
      </c>
      <c r="M6" s="38" t="n">
        <v>126.8634</v>
      </c>
      <c r="N6" s="38" t="n">
        <v>85.9997</v>
      </c>
      <c r="O6" s="41" t="n">
        <v>1.68</v>
      </c>
      <c r="P6" s="42" t="n">
        <v>1.1</v>
      </c>
      <c r="Q6" s="38" t="n">
        <v>92.09999999999999</v>
      </c>
      <c r="R6" s="43" t="inlineStr">
        <is>
          <t>Strong Buy</t>
        </is>
      </c>
    </row>
    <row r="7" ht="16" customHeight="1">
      <c r="A7" s="22" t="n">
        <v>2</v>
      </c>
      <c r="B7" s="20" t="inlineStr">
        <is>
          <t>Mahindra Manulife Focused Fund-Reg(G)</t>
        </is>
      </c>
      <c r="C7" s="20" t="inlineStr">
        <is>
          <t>Mahindra Manulife Investment Management Private Limited</t>
        </is>
      </c>
      <c r="D7" s="44" t="n">
        <v>2238.4451</v>
      </c>
      <c r="E7" s="45" t="n">
        <v>5.369863</v>
      </c>
      <c r="F7" s="20" t="inlineStr">
        <is>
          <t>NIFTY 50 - TRI</t>
        </is>
      </c>
      <c r="G7" s="48" t="n">
        <v>2.0804</v>
      </c>
      <c r="H7" s="47" t="n">
        <v>5.762700000000001</v>
      </c>
      <c r="I7" s="47" t="n">
        <v>5.433400000000001</v>
      </c>
      <c r="J7" s="49" t="n">
        <v>0.324958031599737</v>
      </c>
      <c r="K7" s="49" t="n">
        <v>0.611788370171452</v>
      </c>
      <c r="L7" s="49" t="n">
        <v>3.6456</v>
      </c>
      <c r="M7" s="45" t="n">
        <v>100.6149</v>
      </c>
      <c r="N7" s="45" t="n">
        <v>85.0021</v>
      </c>
      <c r="O7" s="49" t="n">
        <v>1.99</v>
      </c>
      <c r="P7" s="50" t="n">
        <v>1.42</v>
      </c>
      <c r="Q7" s="45" t="n">
        <v>84.90000000000001</v>
      </c>
      <c r="R7" s="43" t="inlineStr">
        <is>
          <t>Strong Buy</t>
        </is>
      </c>
    </row>
    <row r="8" ht="16" customHeight="1">
      <c r="A8" s="26" t="n">
        <v>3</v>
      </c>
      <c r="B8" s="24" t="inlineStr">
        <is>
          <t>Invesco India Focused Fund-Reg(G)</t>
        </is>
      </c>
      <c r="C8" s="24" t="inlineStr">
        <is>
          <t>Invesco Asset Management Company Pvt Ltd.</t>
        </is>
      </c>
      <c r="D8" s="37" t="n">
        <v>4916.5424</v>
      </c>
      <c r="E8" s="38" t="n">
        <v>5.504109</v>
      </c>
      <c r="F8" s="24" t="inlineStr">
        <is>
          <t>NIFTY 50 - TRI</t>
        </is>
      </c>
      <c r="G8" s="56" t="n">
        <v>-7.834999999999999</v>
      </c>
      <c r="H8" s="40" t="n">
        <v>7.7445</v>
      </c>
      <c r="I8" s="40" t="n">
        <v>3.2134</v>
      </c>
      <c r="J8" s="41" t="n">
        <v>0.297473746519632</v>
      </c>
      <c r="K8" s="41" t="n">
        <v>0.555273776395482</v>
      </c>
      <c r="L8" s="41" t="n">
        <v>4.5613</v>
      </c>
      <c r="M8" s="38" t="n">
        <v>127.4752</v>
      </c>
      <c r="N8" s="38" t="n">
        <v>96.736</v>
      </c>
      <c r="O8" s="41" t="n">
        <v>1.81</v>
      </c>
      <c r="P8" s="42" t="n">
        <v>1.33</v>
      </c>
      <c r="Q8" s="38" t="n">
        <v>78.2</v>
      </c>
      <c r="R8" s="43" t="inlineStr">
        <is>
          <t>Strong Buy</t>
        </is>
      </c>
    </row>
    <row r="9" ht="16" customHeight="1">
      <c r="A9" s="22" t="n">
        <v>4</v>
      </c>
      <c r="B9" s="20" t="inlineStr">
        <is>
          <t>Kotak Focused Fund-Reg(G)</t>
        </is>
      </c>
      <c r="C9" s="20" t="inlineStr">
        <is>
          <t>Kotak Mahindra Asset Management Company Limited</t>
        </is>
      </c>
      <c r="D9" s="44" t="n">
        <v>4013.7864</v>
      </c>
      <c r="E9" s="45" t="n">
        <v>6.712328</v>
      </c>
      <c r="F9" s="20" t="inlineStr">
        <is>
          <t>NIFTY 50 - TRI</t>
        </is>
      </c>
      <c r="G9" s="47" t="n">
        <v>7.5589</v>
      </c>
      <c r="H9" s="47" t="n">
        <v>4.010199999999999</v>
      </c>
      <c r="I9" s="48" t="n">
        <v>2.0021</v>
      </c>
      <c r="J9" s="49" t="n">
        <v>0.305502904054507</v>
      </c>
      <c r="K9" s="49" t="n">
        <v>0.537097201767305</v>
      </c>
      <c r="L9" s="49" t="n">
        <v>3.5812</v>
      </c>
      <c r="M9" s="45" t="n">
        <v>96.52760000000001</v>
      </c>
      <c r="N9" s="45" t="n">
        <v>84.7717</v>
      </c>
      <c r="O9" s="49" t="n">
        <v>1.86</v>
      </c>
      <c r="P9" s="50" t="n">
        <v>1.32</v>
      </c>
      <c r="Q9" s="45" t="n">
        <v>74.09999999999999</v>
      </c>
      <c r="R9" s="51" t="inlineStr">
        <is>
          <t>Buy</t>
        </is>
      </c>
    </row>
    <row r="10" ht="16" customHeight="1">
      <c r="A10" s="26" t="n">
        <v>5</v>
      </c>
      <c r="B10" s="24" t="inlineStr">
        <is>
          <t>DSP Focused Fund-Reg(G)</t>
        </is>
      </c>
      <c r="C10" s="24" t="inlineStr">
        <is>
          <t>DSP Investment Managers Private Limited</t>
        </is>
      </c>
      <c r="D10" s="37" t="n">
        <v>2607.1656</v>
      </c>
      <c r="E10" s="38" t="n">
        <v>15.816438</v>
      </c>
      <c r="F10" s="24" t="inlineStr">
        <is>
          <t>NIFTY 50 - TRI</t>
        </is>
      </c>
      <c r="G10" s="54" t="n">
        <v>-2.4943</v>
      </c>
      <c r="H10" s="40" t="n">
        <v>5.0594</v>
      </c>
      <c r="I10" s="39" t="n">
        <v>0.4472000000000005</v>
      </c>
      <c r="J10" s="41" t="n">
        <v>0.294725901721754</v>
      </c>
      <c r="K10" s="41" t="n">
        <v>0.558391828182294</v>
      </c>
      <c r="L10" s="41" t="n">
        <v>3.9785</v>
      </c>
      <c r="M10" s="38" t="n">
        <v>103.9334</v>
      </c>
      <c r="N10" s="38" t="n">
        <v>94.98520000000001</v>
      </c>
      <c r="O10" s="41" t="n">
        <v>2.02</v>
      </c>
      <c r="P10" s="42" t="n">
        <v>1.04</v>
      </c>
      <c r="Q10" s="38" t="n">
        <v>68.7</v>
      </c>
      <c r="R10" s="51" t="inlineStr">
        <is>
          <t>Buy</t>
        </is>
      </c>
    </row>
    <row r="11" ht="16" customHeight="1">
      <c r="A11" s="22" t="n">
        <v>6</v>
      </c>
      <c r="B11" s="20" t="inlineStr">
        <is>
          <t>Bandhan Focused Fund-Reg(G)</t>
        </is>
      </c>
      <c r="C11" s="20" t="inlineStr">
        <is>
          <t>Bandhan AMC Limited</t>
        </is>
      </c>
      <c r="D11" s="44" t="n">
        <v>2017.7793</v>
      </c>
      <c r="E11" s="45" t="n">
        <v>20.054794</v>
      </c>
      <c r="F11" s="20" t="inlineStr">
        <is>
          <t>NIFTY 50 - TRI</t>
        </is>
      </c>
      <c r="G11" s="48" t="n">
        <v>1.3881</v>
      </c>
      <c r="H11" s="47" t="n">
        <v>4.9598</v>
      </c>
      <c r="I11" s="48" t="n">
        <v>1.047000000000001</v>
      </c>
      <c r="J11" s="49" t="n">
        <v>0.283921518157993</v>
      </c>
      <c r="K11" s="49" t="n">
        <v>0.5527364249271139</v>
      </c>
      <c r="L11" s="49" t="n">
        <v>4.2736</v>
      </c>
      <c r="M11" s="45" t="n">
        <v>124.9447</v>
      </c>
      <c r="N11" s="45" t="n">
        <v>105.6455</v>
      </c>
      <c r="O11" s="49" t="n">
        <v>2.07</v>
      </c>
      <c r="P11" s="50" t="n">
        <v>1.29</v>
      </c>
      <c r="Q11" s="45" t="n">
        <v>67.90000000000001</v>
      </c>
      <c r="R11" s="51" t="inlineStr">
        <is>
          <t>Buy</t>
        </is>
      </c>
    </row>
    <row r="12" ht="16" customHeight="1">
      <c r="A12" s="26" t="n">
        <v>7</v>
      </c>
      <c r="B12" s="24" t="inlineStr">
        <is>
          <t>SBI Focused Fund-Reg(G)</t>
        </is>
      </c>
      <c r="C12" s="24" t="inlineStr">
        <is>
          <t>SBI Funds Management Limited</t>
        </is>
      </c>
      <c r="D12" s="37" t="n">
        <v>43310.5439</v>
      </c>
      <c r="E12" s="38" t="n">
        <v>21.482191</v>
      </c>
      <c r="F12" s="24" t="inlineStr">
        <is>
          <t>BSE SENSEX - TRI</t>
        </is>
      </c>
      <c r="G12" s="54" t="n">
        <v>-1.7681</v>
      </c>
      <c r="H12" s="54" t="n">
        <v>-1.214699999999999</v>
      </c>
      <c r="I12" s="56" t="n">
        <v>-7.1717</v>
      </c>
      <c r="J12" s="41" t="n">
        <v>0.401804120111732</v>
      </c>
      <c r="K12" s="41" t="n">
        <v>0.763411834947592</v>
      </c>
      <c r="L12" s="41" t="n">
        <v>2.864</v>
      </c>
      <c r="M12" s="38" t="n">
        <v>89.12439999999999</v>
      </c>
      <c r="N12" s="38" t="n">
        <v>50.0624</v>
      </c>
      <c r="O12" s="41" t="n">
        <v>1.53</v>
      </c>
      <c r="P12" s="42" t="n">
        <v>0.8</v>
      </c>
      <c r="Q12" s="38" t="n">
        <v>63.2</v>
      </c>
      <c r="R12" s="51" t="inlineStr">
        <is>
          <t>Buy</t>
        </is>
      </c>
    </row>
    <row r="13" ht="16" customHeight="1">
      <c r="A13" s="22" t="n">
        <v>8</v>
      </c>
      <c r="B13" s="20" t="inlineStr">
        <is>
          <t>HDFC Focused Fund-Reg(G)</t>
        </is>
      </c>
      <c r="C13" s="20" t="inlineStr">
        <is>
          <t>HDFC Asset Management Company Limited</t>
        </is>
      </c>
      <c r="D13" s="44" t="n">
        <v>27136.1965</v>
      </c>
      <c r="E13" s="45" t="n">
        <v>21.547945</v>
      </c>
      <c r="F13" s="20" t="inlineStr">
        <is>
          <t>BSE SENSEX - TRI</t>
        </is>
      </c>
      <c r="G13" s="53" t="n">
        <v>-6.9017</v>
      </c>
      <c r="H13" s="48" t="n">
        <v>0.2559000000000005</v>
      </c>
      <c r="I13" s="46" t="n">
        <v>-0.8878999999999984</v>
      </c>
      <c r="J13" s="49" t="n">
        <v>0.393160361148427</v>
      </c>
      <c r="K13" s="49" t="n">
        <v>0.718262085497403</v>
      </c>
      <c r="L13" s="49" t="n">
        <v>3.2009</v>
      </c>
      <c r="M13" s="45" t="n">
        <v>93.32729999999999</v>
      </c>
      <c r="N13" s="45" t="n">
        <v>59.4837</v>
      </c>
      <c r="O13" s="49" t="n">
        <v>1.6</v>
      </c>
      <c r="P13" s="50" t="n">
        <v>0.9700000000000001</v>
      </c>
      <c r="Q13" s="45" t="n">
        <v>63</v>
      </c>
      <c r="R13" s="51" t="inlineStr">
        <is>
          <t>Buy</t>
        </is>
      </c>
    </row>
    <row r="14" ht="16" customHeight="1">
      <c r="A14" s="26" t="n">
        <v>9</v>
      </c>
      <c r="B14" s="24" t="inlineStr">
        <is>
          <t>HSBC Focused Fund-Reg(G)</t>
        </is>
      </c>
      <c r="C14" s="24" t="inlineStr">
        <is>
          <t>HSBC Global Asset Management (India) Private Limited</t>
        </is>
      </c>
      <c r="D14" s="37" t="n">
        <v>1693.1602</v>
      </c>
      <c r="E14" s="38" t="n">
        <v>5.69315</v>
      </c>
      <c r="F14" s="24" t="inlineStr">
        <is>
          <t>NIFTY 50 - TRI</t>
        </is>
      </c>
      <c r="G14" s="40" t="n">
        <v>4.4781</v>
      </c>
      <c r="H14" s="40" t="n">
        <v>3.3635</v>
      </c>
      <c r="I14" s="39" t="n">
        <v>1.3926</v>
      </c>
      <c r="J14" s="41" t="n">
        <v>0.262765612327656</v>
      </c>
      <c r="K14" s="41" t="n">
        <v>0.437842253982555</v>
      </c>
      <c r="L14" s="41" t="n">
        <v>4.0689</v>
      </c>
      <c r="M14" s="38" t="n">
        <v>101.5607</v>
      </c>
      <c r="N14" s="38" t="n">
        <v>100.4978</v>
      </c>
      <c r="O14" s="41" t="n">
        <v>2.11</v>
      </c>
      <c r="P14" s="42" t="n">
        <v>1.13</v>
      </c>
      <c r="Q14" s="38" t="n">
        <v>57.2</v>
      </c>
      <c r="R14" s="52" t="inlineStr">
        <is>
          <t>Hold</t>
        </is>
      </c>
    </row>
    <row r="15" ht="16" customHeight="1">
      <c r="A15" s="22" t="n">
        <v>10</v>
      </c>
      <c r="B15" s="20" t="inlineStr">
        <is>
          <t>Aditya Birla SL Focused Fund(G)</t>
        </is>
      </c>
      <c r="C15" s="20" t="inlineStr">
        <is>
          <t>Aditya Birla Sun Life AMC Limited</t>
        </is>
      </c>
      <c r="D15" s="44" t="n">
        <v>7971.3386</v>
      </c>
      <c r="E15" s="45" t="n">
        <v>20.446575</v>
      </c>
      <c r="F15" s="20" t="inlineStr">
        <is>
          <t>NIFTY 500 - TRI</t>
        </is>
      </c>
      <c r="G15" s="48" t="n">
        <v>1.6953</v>
      </c>
      <c r="H15" s="48" t="n">
        <v>0.6146000000000011</v>
      </c>
      <c r="I15" s="46" t="n">
        <v>-0.5305999999999997</v>
      </c>
      <c r="J15" s="49" t="n">
        <v>0.296160386418846</v>
      </c>
      <c r="K15" s="49" t="n">
        <v>0.552580900179193</v>
      </c>
      <c r="L15" s="49" t="n">
        <v>3.5402</v>
      </c>
      <c r="M15" s="45" t="n">
        <v>94.6829</v>
      </c>
      <c r="N15" s="45" t="n">
        <v>84.93389999999999</v>
      </c>
      <c r="O15" s="49" t="n">
        <v>1.81</v>
      </c>
      <c r="P15" s="50" t="n">
        <v>0.93</v>
      </c>
      <c r="Q15" s="45" t="n">
        <v>56.5</v>
      </c>
      <c r="R15" s="52" t="inlineStr">
        <is>
          <t>Hold</t>
        </is>
      </c>
    </row>
    <row r="16" ht="16" customHeight="1">
      <c r="A16" s="26" t="n">
        <v>11</v>
      </c>
      <c r="B16" s="24" t="inlineStr">
        <is>
          <t>Edelweiss Focused Fund-Reg(G)</t>
        </is>
      </c>
      <c r="C16" s="24" t="inlineStr">
        <is>
          <t>Edelweiss Asset Management Limited</t>
        </is>
      </c>
      <c r="D16" s="37" t="n">
        <v>1057.2673</v>
      </c>
      <c r="E16" s="38" t="n">
        <v>3.665753</v>
      </c>
      <c r="F16" s="24" t="inlineStr">
        <is>
          <t>NIFTY 50 - TRI</t>
        </is>
      </c>
      <c r="G16" s="39" t="n">
        <v>0.8200000000000003</v>
      </c>
      <c r="H16" s="40" t="n">
        <v>3.2964</v>
      </c>
      <c r="I16" s="42" t="inlineStr">
        <is>
          <t>—</t>
        </is>
      </c>
      <c r="J16" s="41" t="n">
        <v>0.269804343969384</v>
      </c>
      <c r="K16" s="41" t="n">
        <v>0.49650995755795</v>
      </c>
      <c r="L16" s="41" t="n">
        <v>3.9457</v>
      </c>
      <c r="M16" s="38" t="n">
        <v>100.6587</v>
      </c>
      <c r="N16" s="38" t="n">
        <v>98.3266</v>
      </c>
      <c r="O16" s="41" t="n">
        <v>2.18</v>
      </c>
      <c r="P16" s="42" t="n">
        <v>1.54</v>
      </c>
      <c r="Q16" s="38" t="n">
        <v>54.3</v>
      </c>
      <c r="R16" s="52" t="inlineStr">
        <is>
          <t>Hold</t>
        </is>
      </c>
    </row>
    <row r="17" ht="16" customHeight="1">
      <c r="A17" s="22" t="n">
        <v>12</v>
      </c>
      <c r="B17" s="20" t="inlineStr">
        <is>
          <t>Tata Focused Fund-Reg(G)</t>
        </is>
      </c>
      <c r="C17" s="20" t="inlineStr">
        <is>
          <t>Tata Asset Management Private Limited</t>
        </is>
      </c>
      <c r="D17" s="44" t="n">
        <v>1807.7466551478</v>
      </c>
      <c r="E17" s="45" t="n">
        <v>6.323287</v>
      </c>
      <c r="F17" s="20" t="inlineStr">
        <is>
          <t>NIFTY 50 - TRI</t>
        </is>
      </c>
      <c r="G17" s="46" t="n">
        <v>-0.5723000000000003</v>
      </c>
      <c r="H17" s="48" t="n">
        <v>1.458399999999999</v>
      </c>
      <c r="I17" s="48" t="n">
        <v>0.9520999999999997</v>
      </c>
      <c r="J17" s="49" t="n">
        <v>0.237464029250072</v>
      </c>
      <c r="K17" s="49" t="n">
        <v>0.419989299837171</v>
      </c>
      <c r="L17" s="49" t="n">
        <v>3.8017</v>
      </c>
      <c r="M17" s="45" t="n">
        <v>92.68729999999999</v>
      </c>
      <c r="N17" s="45" t="n">
        <v>96.0842</v>
      </c>
      <c r="O17" s="49" t="n">
        <v>2.06</v>
      </c>
      <c r="P17" s="50" t="n">
        <v>1.37</v>
      </c>
      <c r="Q17" s="45" t="n">
        <v>46.9</v>
      </c>
      <c r="R17" s="52" t="inlineStr">
        <is>
          <t>Hold</t>
        </is>
      </c>
    </row>
    <row r="18" ht="16" customHeight="1">
      <c r="A18" s="26" t="n">
        <v>13</v>
      </c>
      <c r="B18" s="24" t="inlineStr">
        <is>
          <t>UTI Focused Fund-Reg(G)</t>
        </is>
      </c>
      <c r="C18" s="24" t="inlineStr">
        <is>
          <t>UTI Asset Management Company Private Limited</t>
        </is>
      </c>
      <c r="D18" s="37" t="n">
        <v>2510.5662</v>
      </c>
      <c r="E18" s="38" t="n">
        <v>4.6</v>
      </c>
      <c r="F18" s="24" t="inlineStr">
        <is>
          <t>NIFTY 50 - TRI</t>
        </is>
      </c>
      <c r="G18" s="54" t="n">
        <v>-1.714399999999999</v>
      </c>
      <c r="H18" s="39" t="n">
        <v>1.213099999999999</v>
      </c>
      <c r="I18" s="42" t="inlineStr">
        <is>
          <t>—</t>
        </is>
      </c>
      <c r="J18" s="41" t="n">
        <v>0.237396587799775</v>
      </c>
      <c r="K18" s="41" t="n">
        <v>0.417890636067432</v>
      </c>
      <c r="L18" s="41" t="n">
        <v>3.7278</v>
      </c>
      <c r="M18" s="38" t="n">
        <v>91.7568</v>
      </c>
      <c r="N18" s="38" t="n">
        <v>95.5277</v>
      </c>
      <c r="O18" s="41" t="n">
        <v>1.96</v>
      </c>
      <c r="P18" s="42" t="n">
        <v>1.34</v>
      </c>
      <c r="Q18" s="38" t="n">
        <v>40.6</v>
      </c>
      <c r="R18" s="55" t="inlineStr">
        <is>
          <t>Underweight</t>
        </is>
      </c>
    </row>
    <row r="19" ht="16" customHeight="1">
      <c r="A19" s="22" t="n">
        <v>14</v>
      </c>
      <c r="B19" s="20" t="inlineStr">
        <is>
          <t>Sundaram Focused Fund(G)</t>
        </is>
      </c>
      <c r="C19" s="20" t="inlineStr">
        <is>
          <t>Sundaram Asset Management Company Limited</t>
        </is>
      </c>
      <c r="D19" s="44" t="n">
        <v>1055.510069</v>
      </c>
      <c r="E19" s="45" t="n">
        <v>20.39726</v>
      </c>
      <c r="F19" s="20" t="inlineStr">
        <is>
          <t>NIFTY 50 - TRI</t>
        </is>
      </c>
      <c r="G19" s="46" t="n">
        <v>-1.2574</v>
      </c>
      <c r="H19" s="48" t="n">
        <v>0.6722000000000001</v>
      </c>
      <c r="I19" s="46" t="n">
        <v>-0.05920000000000059</v>
      </c>
      <c r="J19" s="49" t="n">
        <v>0.226290415871363</v>
      </c>
      <c r="K19" s="49" t="n">
        <v>0.407981125189009</v>
      </c>
      <c r="L19" s="49" t="n">
        <v>3.4578</v>
      </c>
      <c r="M19" s="45" t="n">
        <v>86.3421</v>
      </c>
      <c r="N19" s="45" t="n">
        <v>92.608</v>
      </c>
      <c r="O19" s="49" t="n">
        <v>2.26</v>
      </c>
      <c r="P19" s="50" t="n">
        <v>1.04</v>
      </c>
      <c r="Q19" s="45" t="n">
        <v>34</v>
      </c>
      <c r="R19" s="55" t="inlineStr">
        <is>
          <t>Underweight</t>
        </is>
      </c>
    </row>
    <row r="20" ht="16" customHeight="1">
      <c r="A20" s="26" t="n">
        <v>15</v>
      </c>
      <c r="B20" s="24" t="inlineStr">
        <is>
          <t>Canara Rob Focused Fund-Reg(G)</t>
        </is>
      </c>
      <c r="C20" s="24" t="inlineStr">
        <is>
          <t>Canara Robeco Asset Management Company Limited</t>
        </is>
      </c>
      <c r="D20" s="37" t="n">
        <v>2823.1561</v>
      </c>
      <c r="E20" s="38" t="n">
        <v>4.873972</v>
      </c>
      <c r="F20" s="24" t="inlineStr">
        <is>
          <t>BSE SENSEX - TRI</t>
        </is>
      </c>
      <c r="G20" s="56" t="n">
        <v>-8.4621</v>
      </c>
      <c r="H20" s="56" t="n">
        <v>-3.207499999999998</v>
      </c>
      <c r="I20" s="42" t="inlineStr">
        <is>
          <t>—</t>
        </is>
      </c>
      <c r="J20" s="41" t="n">
        <v>0.276320396769473</v>
      </c>
      <c r="K20" s="41" t="n">
        <v>0.489635018969409</v>
      </c>
      <c r="L20" s="41" t="n">
        <v>3.6898</v>
      </c>
      <c r="M20" s="38" t="n">
        <v>100.4918</v>
      </c>
      <c r="N20" s="38" t="n">
        <v>89.2991</v>
      </c>
      <c r="O20" s="41" t="n">
        <v>1.94</v>
      </c>
      <c r="P20" s="42" t="n">
        <v>1.39</v>
      </c>
      <c r="Q20" s="38" t="n">
        <v>33.6</v>
      </c>
      <c r="R20" s="55" t="inlineStr">
        <is>
          <t>Underweight</t>
        </is>
      </c>
    </row>
    <row r="21" ht="16" customHeight="1">
      <c r="A21" s="22" t="n">
        <v>16</v>
      </c>
      <c r="B21" s="20" t="inlineStr">
        <is>
          <t>Franklin India Focused Equity Fund(G)</t>
        </is>
      </c>
      <c r="C21" s="20" t="inlineStr">
        <is>
          <t>Franklin Templeton Asset Management (India) Private Limited</t>
        </is>
      </c>
      <c r="D21" s="44" t="n">
        <v>12129.349376757</v>
      </c>
      <c r="E21" s="45" t="n">
        <v>18.69315</v>
      </c>
      <c r="F21" s="20" t="inlineStr">
        <is>
          <t>NIFTY 500 - TRI</t>
        </is>
      </c>
      <c r="G21" s="46" t="n">
        <v>-2.1255</v>
      </c>
      <c r="H21" s="46" t="n">
        <v>-1.491199999999999</v>
      </c>
      <c r="I21" s="48" t="n">
        <v>0.6204999999999998</v>
      </c>
      <c r="J21" s="49" t="n">
        <v>0.245735326627611</v>
      </c>
      <c r="K21" s="49" t="n">
        <v>0.419366658806885</v>
      </c>
      <c r="L21" s="49" t="n">
        <v>3.6188</v>
      </c>
      <c r="M21" s="45" t="n">
        <v>91.3597</v>
      </c>
      <c r="N21" s="45" t="n">
        <v>93.80929999999999</v>
      </c>
      <c r="O21" s="49" t="n">
        <v>1.77</v>
      </c>
      <c r="P21" s="50" t="n">
        <v>0.78</v>
      </c>
      <c r="Q21" s="45" t="n">
        <v>32.9</v>
      </c>
      <c r="R21" s="55" t="inlineStr">
        <is>
          <t>Underweight</t>
        </is>
      </c>
    </row>
    <row r="22" ht="16" customHeight="1">
      <c r="A22" s="26" t="n">
        <v>17</v>
      </c>
      <c r="B22" s="24" t="inlineStr">
        <is>
          <t>Quant Focused Fund(G)</t>
        </is>
      </c>
      <c r="C22" s="24" t="inlineStr">
        <is>
          <t>Quant Money Managers Limited</t>
        </is>
      </c>
      <c r="D22" s="37" t="n">
        <v>826.6299</v>
      </c>
      <c r="E22" s="38" t="n">
        <v>17.673972</v>
      </c>
      <c r="F22" s="24" t="inlineStr">
        <is>
          <t>NIFTY 50 - TRI</t>
        </is>
      </c>
      <c r="G22" s="56" t="n">
        <v>-5.3019</v>
      </c>
      <c r="H22" s="54" t="n">
        <v>-0.277000000000001</v>
      </c>
      <c r="I22" s="39" t="n">
        <v>0.4472000000000005</v>
      </c>
      <c r="J22" s="41" t="n">
        <v>0.19612572176637</v>
      </c>
      <c r="K22" s="41" t="n">
        <v>0.361265555699091</v>
      </c>
      <c r="L22" s="41" t="n">
        <v>4.2777</v>
      </c>
      <c r="M22" s="38" t="n">
        <v>98.84990000000001</v>
      </c>
      <c r="N22" s="38" t="n">
        <v>118.2639</v>
      </c>
      <c r="O22" s="41" t="n">
        <v>2.3</v>
      </c>
      <c r="P22" s="42" t="n">
        <v>1.45</v>
      </c>
      <c r="Q22" s="38" t="n">
        <v>23.6</v>
      </c>
      <c r="R22" s="57" t="inlineStr">
        <is>
          <t>Avoid</t>
        </is>
      </c>
    </row>
    <row r="23" ht="16" customHeight="1">
      <c r="A23" s="22" t="n">
        <v>18</v>
      </c>
      <c r="B23" s="20" t="inlineStr">
        <is>
          <t>Axis Focused Fund-Reg(G)</t>
        </is>
      </c>
      <c r="C23" s="20" t="inlineStr">
        <is>
          <t>Axis Asset Management Company Ltd.</t>
        </is>
      </c>
      <c r="D23" s="44" t="n">
        <v>11305.1292</v>
      </c>
      <c r="E23" s="45" t="n">
        <v>13.761643</v>
      </c>
      <c r="F23" s="20" t="inlineStr">
        <is>
          <t>NIFTY 50 - TRI</t>
        </is>
      </c>
      <c r="G23" s="53" t="n">
        <v>-4.0402</v>
      </c>
      <c r="H23" s="46" t="n">
        <v>-1.3637</v>
      </c>
      <c r="I23" s="53" t="n">
        <v>-5.2912</v>
      </c>
      <c r="J23" s="49" t="n">
        <v>0.168597222222222</v>
      </c>
      <c r="K23" s="49" t="n">
        <v>0.31166351789953</v>
      </c>
      <c r="L23" s="49" t="n">
        <v>3.816</v>
      </c>
      <c r="M23" s="45" t="n">
        <v>84.4504</v>
      </c>
      <c r="N23" s="45" t="n">
        <v>102.6613</v>
      </c>
      <c r="O23" s="49" t="n">
        <v>1.76</v>
      </c>
      <c r="P23" s="50" t="n">
        <v>0.91</v>
      </c>
      <c r="Q23" s="45" t="n">
        <v>17.9</v>
      </c>
      <c r="R23" s="57" t="inlineStr">
        <is>
          <t>Avoid</t>
        </is>
      </c>
    </row>
    <row r="24" ht="16" customHeight="1">
      <c r="A24" s="26" t="n">
        <v>19</v>
      </c>
      <c r="B24" s="24" t="inlineStr">
        <is>
          <t>Baroda BNP Paribas Focused Fund-Reg(G)</t>
        </is>
      </c>
      <c r="C24" s="24" t="inlineStr">
        <is>
          <t>Baroda BNP Paribas Asset Management India Pvt. Ltd.</t>
        </is>
      </c>
      <c r="D24" s="37" t="n">
        <v>674.9718</v>
      </c>
      <c r="E24" s="38" t="n">
        <v>8.487671000000001</v>
      </c>
      <c r="F24" s="24" t="inlineStr">
        <is>
          <t>NIFTY 500 - TRI</t>
        </is>
      </c>
      <c r="G24" s="56" t="n">
        <v>-3.0327</v>
      </c>
      <c r="H24" s="56" t="n">
        <v>-3.4039</v>
      </c>
      <c r="I24" s="54" t="n">
        <v>-2.629399999999999</v>
      </c>
      <c r="J24" s="41" t="n">
        <v>0.173826327306231</v>
      </c>
      <c r="K24" s="41" t="n">
        <v>0.296412804399057</v>
      </c>
      <c r="L24" s="41" t="n">
        <v>4.3415</v>
      </c>
      <c r="M24" s="38" t="n">
        <v>99.3449</v>
      </c>
      <c r="N24" s="38" t="n">
        <v>128.1446</v>
      </c>
      <c r="O24" s="41" t="n">
        <v>2.28</v>
      </c>
      <c r="P24" s="42" t="n">
        <v>1.81</v>
      </c>
      <c r="Q24" s="38" t="n">
        <v>10.2</v>
      </c>
      <c r="R24" s="57" t="inlineStr">
        <is>
          <t>Avoid</t>
        </is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  <col width="8" customWidth="1" min="10" max="10"/>
    <col width="9" customWidth="1" min="11" max="11"/>
  </cols>
  <sheetData>
    <row r="1" ht="28" customHeight="1">
      <c r="A1" s="4" t="inlineStr">
        <is>
          <t>Div Yield (Info) — Informational (No Scoring)</t>
        </is>
      </c>
    </row>
    <row r="2" ht="15" customHeight="1">
      <c r="A2" s="18" t="inlineStr">
        <is>
          <t>SEBI mandate: Min 65% in dividend-paying stocks.   |   Data: March 2026   |   Universe: 10   |   Post-gates: 10</t>
        </is>
      </c>
    </row>
    <row r="3" ht="14" customHeight="1">
      <c r="A3" s="36" t="inlineStr">
        <is>
          <t>Universe too small for robust percentile ranking. Full metrics shown for reference only. No composite score or rating assigned.</t>
        </is>
      </c>
    </row>
    <row r="4" ht="6" customHeight="1"/>
    <row r="5" ht="24" customHeight="1">
      <c r="A5" s="19" t="inlineStr">
        <is>
          <t>Fund Name</t>
        </is>
      </c>
      <c r="B5" s="19" t="inlineStr">
        <is>
          <t>AMC</t>
        </is>
      </c>
      <c r="C5" s="19" t="inlineStr">
        <is>
          <t>AUM (₹ Cr)</t>
        </is>
      </c>
      <c r="D5" s="19" t="inlineStr">
        <is>
          <t>Age (Yrs)</t>
        </is>
      </c>
      <c r="E5" s="19" t="inlineStr">
        <is>
          <t>1Y Alpha</t>
        </is>
      </c>
      <c r="F5" s="19" t="inlineStr">
        <is>
          <t>3Y Alpha</t>
        </is>
      </c>
      <c r="G5" s="19" t="inlineStr">
        <is>
          <t>5Y Alpha</t>
        </is>
      </c>
      <c r="H5" s="19" t="inlineStr">
        <is>
          <t>Sharpe (3Y)</t>
        </is>
      </c>
      <c r="I5" s="19" t="inlineStr">
        <is>
          <t>Sortino (3Y)</t>
        </is>
      </c>
      <c r="J5" s="19" t="inlineStr">
        <is>
          <t>ER (%)</t>
        </is>
      </c>
      <c r="K5" s="19" t="inlineStr">
        <is>
          <t>ER Spread</t>
        </is>
      </c>
    </row>
    <row r="6" ht="16" customHeight="1">
      <c r="A6" s="24" t="inlineStr">
        <is>
          <t>SBI Dividend Yield Fund-Reg(G)</t>
        </is>
      </c>
      <c r="B6" s="24" t="inlineStr">
        <is>
          <t>SBI Funds Management Limited</t>
        </is>
      </c>
      <c r="C6" s="37" t="n">
        <v>8986.668299999999</v>
      </c>
      <c r="D6" s="38" t="n">
        <v>3.049315</v>
      </c>
      <c r="E6" s="56" t="n">
        <v>-6.2611</v>
      </c>
      <c r="F6" s="56" t="n">
        <v>-5.426299999999998</v>
      </c>
      <c r="G6" s="42" t="inlineStr">
        <is>
          <t>—</t>
        </is>
      </c>
      <c r="H6" s="41" t="n">
        <v>0.252814265112366</v>
      </c>
      <c r="I6" s="41" t="n">
        <v>0.444327278487697</v>
      </c>
      <c r="J6" s="41" t="n">
        <v>1.78</v>
      </c>
      <c r="K6" s="42" t="n">
        <v>0.98</v>
      </c>
    </row>
    <row r="7" ht="16" customHeight="1">
      <c r="A7" s="20" t="inlineStr">
        <is>
          <t>ICICI Pru Dividend Yield Equity Fund(G)</t>
        </is>
      </c>
      <c r="B7" s="20" t="inlineStr">
        <is>
          <t>ICICI Prudential Asset Management Company Limited</t>
        </is>
      </c>
      <c r="C7" s="44" t="n">
        <v>6531.4805470349</v>
      </c>
      <c r="D7" s="45" t="n">
        <v>11.882191</v>
      </c>
      <c r="E7" s="47" t="n">
        <v>3.0982</v>
      </c>
      <c r="F7" s="47" t="n">
        <v>8.398300000000001</v>
      </c>
      <c r="G7" s="47" t="n">
        <v>9.645900000000001</v>
      </c>
      <c r="H7" s="49" t="n">
        <v>0.408309146036325</v>
      </c>
      <c r="I7" s="49" t="n">
        <v>0.771321247845187</v>
      </c>
      <c r="J7" s="49" t="n">
        <v>1.8</v>
      </c>
      <c r="K7" s="50" t="n">
        <v>1.23</v>
      </c>
    </row>
    <row r="8" ht="16" customHeight="1">
      <c r="A8" s="24" t="inlineStr">
        <is>
          <t>HDFC Dividend Yield Fund-Reg(G)</t>
        </is>
      </c>
      <c r="B8" s="24" t="inlineStr">
        <is>
          <t>HDFC Asset Management Company Limited</t>
        </is>
      </c>
      <c r="C8" s="37" t="n">
        <v>5853.3763</v>
      </c>
      <c r="D8" s="38" t="n">
        <v>5.284931</v>
      </c>
      <c r="E8" s="54" t="n">
        <v>-0.2911000000000001</v>
      </c>
      <c r="F8" s="40" t="n">
        <v>3.124599999999999</v>
      </c>
      <c r="G8" s="40" t="n">
        <v>5.2195</v>
      </c>
      <c r="H8" s="41" t="n">
        <v>0.262919403900718</v>
      </c>
      <c r="I8" s="41" t="n">
        <v>0.490728530534351</v>
      </c>
      <c r="J8" s="41" t="n">
        <v>1.84</v>
      </c>
      <c r="K8" s="42" t="n">
        <v>1.06</v>
      </c>
    </row>
    <row r="9" ht="16" customHeight="1">
      <c r="A9" s="20" t="inlineStr">
        <is>
          <t>UTI Dividend Yield Fund-Reg(G)</t>
        </is>
      </c>
      <c r="B9" s="20" t="inlineStr">
        <is>
          <t>UTI Asset Management Company Private Limited</t>
        </is>
      </c>
      <c r="C9" s="44" t="n">
        <v>3879.6841</v>
      </c>
      <c r="D9" s="45" t="n">
        <v>20.923287</v>
      </c>
      <c r="E9" s="48" t="n">
        <v>2.7923</v>
      </c>
      <c r="F9" s="47" t="n">
        <v>6.681099999999999</v>
      </c>
      <c r="G9" s="47" t="n">
        <v>4.268800000000001</v>
      </c>
      <c r="H9" s="49" t="n">
        <v>0.343622933995895</v>
      </c>
      <c r="I9" s="49" t="n">
        <v>0.675569183391738</v>
      </c>
      <c r="J9" s="49" t="n">
        <v>2.02</v>
      </c>
      <c r="K9" s="50" t="n">
        <v>0.5700000000000001</v>
      </c>
    </row>
    <row r="10" ht="16" customHeight="1">
      <c r="A10" s="24" t="inlineStr">
        <is>
          <t>Franklin India Dividend Yield Fund(G)</t>
        </is>
      </c>
      <c r="B10" s="24" t="inlineStr">
        <is>
          <t>Franklin Templeton Asset Management (India) Private Limited</t>
        </is>
      </c>
      <c r="C10" s="37" t="n">
        <v>2409.156299378</v>
      </c>
      <c r="D10" s="38" t="n">
        <v>19.882191</v>
      </c>
      <c r="E10" s="54" t="n">
        <v>-0.4481999999999999</v>
      </c>
      <c r="F10" s="39" t="n">
        <v>2.551399999999999</v>
      </c>
      <c r="G10" s="40" t="n">
        <v>4.9956</v>
      </c>
      <c r="H10" s="41" t="n">
        <v>0.286049929534931</v>
      </c>
      <c r="I10" s="41" t="n">
        <v>0.576694305926012</v>
      </c>
      <c r="J10" s="41" t="n">
        <v>2.08</v>
      </c>
      <c r="K10" s="42" t="n">
        <v>0.8500000000000001</v>
      </c>
    </row>
    <row r="11" ht="16" customHeight="1">
      <c r="A11" s="20" t="inlineStr">
        <is>
          <t>Aditya Birla SL Dividend Yield Fund(G)</t>
        </is>
      </c>
      <c r="B11" s="20" t="inlineStr">
        <is>
          <t>Aditya Birla Sun Life AMC Limited</t>
        </is>
      </c>
      <c r="C11" s="44" t="n">
        <v>1494.633</v>
      </c>
      <c r="D11" s="45" t="n">
        <v>23.150684</v>
      </c>
      <c r="E11" s="47" t="n">
        <v>3.254</v>
      </c>
      <c r="F11" s="47" t="n">
        <v>5.553900000000001</v>
      </c>
      <c r="G11" s="47" t="n">
        <v>6.358000000000001</v>
      </c>
      <c r="H11" s="49" t="n">
        <v>0.315724858843278</v>
      </c>
      <c r="I11" s="49" t="n">
        <v>0.586158749645859</v>
      </c>
      <c r="J11" s="49" t="n">
        <v>2.2</v>
      </c>
      <c r="K11" s="50" t="n">
        <v>0.8500000000000001</v>
      </c>
    </row>
    <row r="12" ht="16" customHeight="1">
      <c r="A12" s="24" t="inlineStr">
        <is>
          <t>Tata Dividend Yield Fund-Reg(G)</t>
        </is>
      </c>
      <c r="B12" s="24" t="inlineStr">
        <is>
          <t>Tata Asset Management Private Limited</t>
        </is>
      </c>
      <c r="C12" s="37" t="n">
        <v>1018.5401867731</v>
      </c>
      <c r="D12" s="38" t="n">
        <v>4.865753</v>
      </c>
      <c r="E12" s="40" t="n">
        <v>6.5036</v>
      </c>
      <c r="F12" s="40" t="n">
        <v>4.587299999999999</v>
      </c>
      <c r="G12" s="42" t="inlineStr">
        <is>
          <t>—</t>
        </is>
      </c>
      <c r="H12" s="41" t="n">
        <v>0.274536823512095</v>
      </c>
      <c r="I12" s="41" t="n">
        <v>0.5008579868415159</v>
      </c>
      <c r="J12" s="41" t="n">
        <v>2.17</v>
      </c>
      <c r="K12" s="42" t="n">
        <v>1.57</v>
      </c>
    </row>
    <row r="13" ht="16" customHeight="1">
      <c r="A13" s="20" t="inlineStr">
        <is>
          <t>Sundaram Dividend Yield Fund(G)</t>
        </is>
      </c>
      <c r="B13" s="20" t="inlineStr">
        <is>
          <t>Sundaram Asset Management Company Limited</t>
        </is>
      </c>
      <c r="C13" s="44" t="n">
        <v>894.2803390300001</v>
      </c>
      <c r="D13" s="45" t="n">
        <v>21.471232</v>
      </c>
      <c r="E13" s="48" t="n">
        <v>1.2759</v>
      </c>
      <c r="F13" s="47" t="n">
        <v>3.104199999999999</v>
      </c>
      <c r="G13" s="48" t="n">
        <v>2.266500000000001</v>
      </c>
      <c r="H13" s="49" t="n">
        <v>0.271061144093658</v>
      </c>
      <c r="I13" s="49" t="n">
        <v>0.501317085684967</v>
      </c>
      <c r="J13" s="49" t="n">
        <v>2.3</v>
      </c>
      <c r="K13" s="50" t="n">
        <v>1.21</v>
      </c>
    </row>
    <row r="14" ht="16" customHeight="1">
      <c r="A14" s="24" t="inlineStr">
        <is>
          <t>Baroda BNP Paribas Dividend Yield Fund-Reg(G)</t>
        </is>
      </c>
      <c r="B14" s="24" t="inlineStr">
        <is>
          <t>Baroda BNP Paribas Asset Management India Pvt. Ltd.</t>
        </is>
      </c>
      <c r="C14" s="37" t="n">
        <v>693.1052</v>
      </c>
      <c r="D14" s="38" t="n">
        <v>1.550684</v>
      </c>
      <c r="E14" s="39" t="n">
        <v>1.6878</v>
      </c>
      <c r="F14" s="42" t="inlineStr">
        <is>
          <t>—</t>
        </is>
      </c>
      <c r="G14" s="42" t="inlineStr">
        <is>
          <t>—</t>
        </is>
      </c>
      <c r="H14" s="41" t="n">
        <v>-0.186613707165109</v>
      </c>
      <c r="I14" s="41" t="n">
        <v>-0.27994434531396</v>
      </c>
      <c r="J14" s="41" t="n">
        <v>2.35</v>
      </c>
      <c r="K14" s="42" t="n">
        <v>1.21</v>
      </c>
    </row>
    <row r="15" ht="16" customHeight="1">
      <c r="A15" s="20" t="inlineStr">
        <is>
          <t>LIC MF Dividend Yield Fund-Reg(G)</t>
        </is>
      </c>
      <c r="B15" s="20" t="inlineStr">
        <is>
          <t>LIC Mutual Fund Asset Management Limited</t>
        </is>
      </c>
      <c r="C15" s="44" t="n">
        <v>662.34</v>
      </c>
      <c r="D15" s="45" t="n">
        <v>7.279452</v>
      </c>
      <c r="E15" s="46" t="n">
        <v>-1.004</v>
      </c>
      <c r="F15" s="47" t="n">
        <v>6.4307</v>
      </c>
      <c r="G15" s="47" t="n">
        <v>3.9284</v>
      </c>
      <c r="H15" s="49" t="n">
        <v>0.298001952994962</v>
      </c>
      <c r="I15" s="49" t="n">
        <v>0.564116707977986</v>
      </c>
      <c r="J15" s="49" t="n">
        <v>2.33</v>
      </c>
      <c r="K15" s="50" t="n">
        <v>1.56</v>
      </c>
    </row>
  </sheetData>
  <mergeCells count="3">
    <mergeCell ref="A2:K2"/>
    <mergeCell ref="A1:K1"/>
    <mergeCell ref="A3:K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  <col width="8" customWidth="1" min="10" max="10"/>
    <col width="9" customWidth="1" min="11" max="11"/>
  </cols>
  <sheetData>
    <row r="1" ht="28" customHeight="1">
      <c r="A1" s="4" t="inlineStr">
        <is>
          <t>Contra (Info) — Informational (No Scoring)</t>
        </is>
      </c>
    </row>
    <row r="2" ht="15" customHeight="1">
      <c r="A2" s="18" t="inlineStr">
        <is>
          <t>SEBI mandate: Contrarian investment strategy. Min 65% equity.   |   Data: March 2026   |   Universe: 2   |   Post-gates: 2</t>
        </is>
      </c>
    </row>
    <row r="3" ht="14" customHeight="1">
      <c r="A3" s="36" t="inlineStr">
        <is>
          <t>Universe too small for robust percentile ranking. Full metrics shown for reference only. No composite score or rating assigned.</t>
        </is>
      </c>
    </row>
    <row r="4" ht="6" customHeight="1"/>
    <row r="5" ht="24" customHeight="1">
      <c r="A5" s="19" t="inlineStr">
        <is>
          <t>Fund Name</t>
        </is>
      </c>
      <c r="B5" s="19" t="inlineStr">
        <is>
          <t>AMC</t>
        </is>
      </c>
      <c r="C5" s="19" t="inlineStr">
        <is>
          <t>AUM (₹ Cr)</t>
        </is>
      </c>
      <c r="D5" s="19" t="inlineStr">
        <is>
          <t>Age (Yrs)</t>
        </is>
      </c>
      <c r="E5" s="19" t="inlineStr">
        <is>
          <t>1Y Alpha</t>
        </is>
      </c>
      <c r="F5" s="19" t="inlineStr">
        <is>
          <t>3Y Alpha</t>
        </is>
      </c>
      <c r="G5" s="19" t="inlineStr">
        <is>
          <t>5Y Alpha</t>
        </is>
      </c>
      <c r="H5" s="19" t="inlineStr">
        <is>
          <t>Sharpe (3Y)</t>
        </is>
      </c>
      <c r="I5" s="19" t="inlineStr">
        <is>
          <t>Sortino (3Y)</t>
        </is>
      </c>
      <c r="J5" s="19" t="inlineStr">
        <is>
          <t>ER (%)</t>
        </is>
      </c>
      <c r="K5" s="19" t="inlineStr">
        <is>
          <t>ER Spread</t>
        </is>
      </c>
    </row>
    <row r="6" ht="16" customHeight="1">
      <c r="A6" s="24" t="inlineStr">
        <is>
          <t>Invesco India Contra Fund-Reg(G)</t>
        </is>
      </c>
      <c r="B6" s="24" t="inlineStr">
        <is>
          <t>Invesco Asset Management Company Pvt Ltd.</t>
        </is>
      </c>
      <c r="C6" s="37" t="n">
        <v>19948.0539</v>
      </c>
      <c r="D6" s="38" t="n">
        <v>18.983561</v>
      </c>
      <c r="E6" s="54" t="n">
        <v>-1.9704</v>
      </c>
      <c r="F6" s="40" t="n">
        <v>5.1853</v>
      </c>
      <c r="G6" s="40" t="n">
        <v>3.149900000000001</v>
      </c>
      <c r="H6" s="41" t="n">
        <v>0.295539377402952</v>
      </c>
      <c r="I6" s="41" t="n">
        <v>0.529517354784232</v>
      </c>
      <c r="J6" s="41" t="n">
        <v>1.62</v>
      </c>
      <c r="K6" s="42" t="n">
        <v>1.11</v>
      </c>
    </row>
    <row r="7" ht="16" customHeight="1">
      <c r="A7" s="20" t="inlineStr">
        <is>
          <t>Kotak Contra Fund-Reg(G)</t>
        </is>
      </c>
      <c r="B7" s="20" t="inlineStr">
        <is>
          <t>Kotak Mahindra Asset Management Company Limited</t>
        </is>
      </c>
      <c r="C7" s="44" t="n">
        <v>5224.6756</v>
      </c>
      <c r="D7" s="45" t="n">
        <v>20.69041</v>
      </c>
      <c r="E7" s="47" t="n">
        <v>3.2903</v>
      </c>
      <c r="F7" s="47" t="n">
        <v>6.3668</v>
      </c>
      <c r="G7" s="47" t="n">
        <v>4.443900000000001</v>
      </c>
      <c r="H7" s="49" t="n">
        <v>0.327542288810317</v>
      </c>
      <c r="I7" s="49" t="n">
        <v>0.600450920960597</v>
      </c>
      <c r="J7" s="49" t="n">
        <v>1.83</v>
      </c>
      <c r="K7" s="50" t="n">
        <v>1.25</v>
      </c>
    </row>
  </sheetData>
  <mergeCells count="3">
    <mergeCell ref="A2:K2"/>
    <mergeCell ref="A1:K1"/>
    <mergeCell ref="A3:K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7" t="inlineStr">
        <is>
          <t>CHARTS &amp; ANALYTICS — Equity Fund Screening Model v2</t>
        </is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Strong Buy</t>
        </is>
      </c>
      <c r="C1" t="inlineStr">
        <is>
          <t>Buy</t>
        </is>
      </c>
      <c r="D1" t="inlineStr">
        <is>
          <t>Hold</t>
        </is>
      </c>
      <c r="E1" t="inlineStr">
        <is>
          <t>Underweight</t>
        </is>
      </c>
      <c r="F1" t="inlineStr">
        <is>
          <t>Avoid</t>
        </is>
      </c>
    </row>
    <row r="2">
      <c r="A2" t="inlineStr">
        <is>
          <t>Large Cap</t>
        </is>
      </c>
      <c r="B2" t="n">
        <v>4</v>
      </c>
      <c r="C2" t="n">
        <v>2</v>
      </c>
      <c r="D2" t="n">
        <v>5</v>
      </c>
      <c r="E2" t="n">
        <v>2</v>
      </c>
      <c r="F2" t="n">
        <v>4</v>
      </c>
    </row>
    <row r="3">
      <c r="A3" t="inlineStr">
        <is>
          <t>Flexi Cap</t>
        </is>
      </c>
      <c r="B3" t="n">
        <v>6</v>
      </c>
      <c r="C3" t="n">
        <v>3</v>
      </c>
      <c r="D3" t="n">
        <v>8</v>
      </c>
      <c r="E3" t="n">
        <v>3</v>
      </c>
      <c r="F3" t="n">
        <v>7</v>
      </c>
    </row>
    <row r="4">
      <c r="A4" t="inlineStr">
        <is>
          <t>Mid Cap</t>
        </is>
      </c>
      <c r="B4" t="n">
        <v>7</v>
      </c>
      <c r="C4" t="n">
        <v>3</v>
      </c>
      <c r="D4" t="n">
        <v>5</v>
      </c>
      <c r="E4" t="n">
        <v>5</v>
      </c>
      <c r="F4" t="n">
        <v>6</v>
      </c>
    </row>
    <row r="5">
      <c r="A5" t="inlineStr">
        <is>
          <t>Small Cap</t>
        </is>
      </c>
      <c r="B5" t="n">
        <v>5</v>
      </c>
      <c r="C5" t="n">
        <v>4</v>
      </c>
      <c r="D5" t="n">
        <v>5</v>
      </c>
      <c r="E5" t="n">
        <v>5</v>
      </c>
      <c r="F5" t="n">
        <v>4</v>
      </c>
    </row>
    <row r="6">
      <c r="A6" t="inlineStr">
        <is>
          <t>ELSS</t>
        </is>
      </c>
      <c r="B6" t="n">
        <v>5</v>
      </c>
      <c r="C6" t="n">
        <v>5</v>
      </c>
      <c r="D6" t="n">
        <v>4</v>
      </c>
      <c r="E6" t="n">
        <v>5</v>
      </c>
      <c r="F6" t="n">
        <v>5</v>
      </c>
    </row>
    <row r="7">
      <c r="A7" t="inlineStr">
        <is>
          <t>Multi Cap</t>
        </is>
      </c>
      <c r="B7" t="n">
        <v>5</v>
      </c>
      <c r="C7" t="n">
        <v>1</v>
      </c>
      <c r="D7" t="n">
        <v>5</v>
      </c>
      <c r="E7" t="n">
        <v>5</v>
      </c>
      <c r="F7" t="n">
        <v>3</v>
      </c>
    </row>
    <row r="8">
      <c r="A8" t="inlineStr">
        <is>
          <t>Large &amp; Mid Cap</t>
        </is>
      </c>
      <c r="B8" t="n">
        <v>6</v>
      </c>
      <c r="C8" t="n">
        <v>2</v>
      </c>
      <c r="D8" t="n">
        <v>4</v>
      </c>
      <c r="E8" t="n">
        <v>6</v>
      </c>
      <c r="F8" t="n">
        <v>4</v>
      </c>
    </row>
    <row r="9">
      <c r="A9" t="inlineStr">
        <is>
          <t>Focused Fund</t>
        </is>
      </c>
      <c r="B9" t="n">
        <v>3</v>
      </c>
      <c r="C9" t="n">
        <v>5</v>
      </c>
      <c r="D9" t="n">
        <v>4</v>
      </c>
      <c r="E9" t="n">
        <v>4</v>
      </c>
      <c r="F9" t="n">
        <v>3</v>
      </c>
    </row>
    <row r="11">
      <c r="A11" t="inlineStr">
        <is>
          <t>Category</t>
        </is>
      </c>
      <c r="B11" t="inlineStr">
        <is>
          <t>Avg Composite Score</t>
        </is>
      </c>
    </row>
    <row r="12">
      <c r="A12" t="inlineStr">
        <is>
          <t>Large Cap</t>
        </is>
      </c>
      <c r="B12" t="n">
        <v>52.9</v>
      </c>
    </row>
    <row r="13">
      <c r="A13" t="inlineStr">
        <is>
          <t>Flexi Cap</t>
        </is>
      </c>
      <c r="B13" t="n">
        <v>51.9</v>
      </c>
    </row>
    <row r="14">
      <c r="A14" t="inlineStr">
        <is>
          <t>Mid Cap</t>
        </is>
      </c>
      <c r="B14" t="n">
        <v>51.9</v>
      </c>
    </row>
    <row r="15">
      <c r="A15" t="inlineStr">
        <is>
          <t>Small Cap</t>
        </is>
      </c>
      <c r="B15" t="n">
        <v>52.2</v>
      </c>
    </row>
    <row r="16">
      <c r="A16" t="inlineStr">
        <is>
          <t>ELSS</t>
        </is>
      </c>
      <c r="B16" t="n">
        <v>52.1</v>
      </c>
    </row>
    <row r="17">
      <c r="A17" t="inlineStr">
        <is>
          <t>Multi Cap</t>
        </is>
      </c>
      <c r="B17" t="n">
        <v>52.6</v>
      </c>
    </row>
    <row r="18">
      <c r="A18" t="inlineStr">
        <is>
          <t>Large &amp; Mid Cap</t>
        </is>
      </c>
      <c r="B18" t="n">
        <v>52.3</v>
      </c>
    </row>
    <row r="19">
      <c r="A19" t="inlineStr">
        <is>
          <t>Focused Fund</t>
        </is>
      </c>
      <c r="B19" t="n">
        <v>52.6</v>
      </c>
    </row>
    <row r="21">
      <c r="A21" t="inlineStr">
        <is>
          <t>Category</t>
        </is>
      </c>
      <c r="B21" t="inlineStr">
        <is>
          <t>Avg 3Y Alpha (%)</t>
        </is>
      </c>
    </row>
    <row r="22">
      <c r="A22" t="inlineStr">
        <is>
          <t>Large Cap</t>
        </is>
      </c>
      <c r="B22" t="n">
        <v>0.6899999999999999</v>
      </c>
    </row>
    <row r="23">
      <c r="A23" t="inlineStr">
        <is>
          <t>Flexi Cap</t>
        </is>
      </c>
      <c r="B23" t="n">
        <v>3.13</v>
      </c>
    </row>
    <row r="24">
      <c r="A24" t="inlineStr">
        <is>
          <t>Mid Cap</t>
        </is>
      </c>
      <c r="B24" t="n">
        <v>7.21</v>
      </c>
    </row>
    <row r="25">
      <c r="A25" t="inlineStr">
        <is>
          <t>Small Cap</t>
        </is>
      </c>
      <c r="B25" t="n">
        <v>4.77</v>
      </c>
    </row>
    <row r="26">
      <c r="A26" t="inlineStr">
        <is>
          <t>ELSS</t>
        </is>
      </c>
      <c r="B26" t="n">
        <v>2.39</v>
      </c>
    </row>
    <row r="27">
      <c r="A27" t="inlineStr">
        <is>
          <t>Multi Cap</t>
        </is>
      </c>
      <c r="B27" t="n">
        <v>3.67</v>
      </c>
    </row>
    <row r="28">
      <c r="A28" t="inlineStr">
        <is>
          <t>Large &amp; Mid Cap</t>
        </is>
      </c>
      <c r="B28" t="n">
        <v>3.81</v>
      </c>
    </row>
    <row r="29">
      <c r="A29" t="inlineStr">
        <is>
          <t>Focused Fund</t>
        </is>
      </c>
      <c r="B29" t="n">
        <v>1.85</v>
      </c>
    </row>
    <row r="31">
      <c r="A31" t="inlineStr">
        <is>
          <t>Category</t>
        </is>
      </c>
      <c r="B31" t="inlineStr">
        <is>
          <t>Avg ER (%)</t>
        </is>
      </c>
    </row>
    <row r="32">
      <c r="A32" t="inlineStr">
        <is>
          <t>Large Cap</t>
        </is>
      </c>
      <c r="B32" t="n">
        <v>1.93</v>
      </c>
    </row>
    <row r="33">
      <c r="A33" t="inlineStr">
        <is>
          <t>Flexi Cap</t>
        </is>
      </c>
      <c r="B33" t="n">
        <v>1.81</v>
      </c>
    </row>
    <row r="34">
      <c r="A34" t="inlineStr">
        <is>
          <t>Mid Cap</t>
        </is>
      </c>
      <c r="B34" t="n">
        <v>1.77</v>
      </c>
    </row>
    <row r="35">
      <c r="A35" t="inlineStr">
        <is>
          <t>Small Cap</t>
        </is>
      </c>
      <c r="B35" t="n">
        <v>1.79</v>
      </c>
    </row>
    <row r="36">
      <c r="A36" t="inlineStr">
        <is>
          <t>ELSS</t>
        </is>
      </c>
      <c r="B36" t="n">
        <v>1.94</v>
      </c>
    </row>
    <row r="37">
      <c r="A37" t="inlineStr">
        <is>
          <t>Multi Cap</t>
        </is>
      </c>
      <c r="B37" t="n">
        <v>1.85</v>
      </c>
    </row>
    <row r="38">
      <c r="A38" t="inlineStr">
        <is>
          <t>Large &amp; Mid Cap</t>
        </is>
      </c>
      <c r="B38" t="n">
        <v>1.8</v>
      </c>
    </row>
    <row r="39">
      <c r="A39" t="inlineStr">
        <is>
          <t>Focused Fund</t>
        </is>
      </c>
      <c r="B39" t="n">
        <v>1.95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2026-03-31T10:04:50Z</dcterms:created>
  <dcterms:modified xmlns:dcterms="http://purl.org/dc/terms/" xmlns:xsi="http://www.w3.org/2001/XMLSchema-instance" xsi:type="dcterms:W3CDTF">2026-03-31T10:04:50Z</dcterms:modified>
</cp:coreProperties>
</file>