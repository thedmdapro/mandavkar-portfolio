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Raw Data" sheetId="2" state="visible" r:id="rId2"/>
    <sheet name="Scoring" sheetId="3" state="visible" r:id="rId3"/>
    <sheet name="Output — Leaderboard" sheetId="4" state="visible" r:id="rId4"/>
    <sheet name="Notes — Top 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color rgb="00888888"/>
      <sz val="9"/>
    </font>
    <font>
      <name val="Calibri"/>
      <i val="1"/>
      <color rgb="00856404"/>
      <sz val="9"/>
    </font>
    <font>
      <name val="Calibri"/>
      <b val="1"/>
      <color rgb="00FFFFFF"/>
      <sz val="12"/>
    </font>
    <font>
      <name val="Calibri"/>
      <b val="1"/>
      <color rgb="002F4858"/>
      <sz val="10"/>
    </font>
    <font>
      <name val="Calibri"/>
      <b val="1"/>
      <sz val="9"/>
    </font>
    <font>
      <name val="Calibri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8F9FA"/>
      </patternFill>
    </fill>
    <fill>
      <patternFill patternType="solid">
        <fgColor rgb="00005F73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EE2E6"/>
      </patternFill>
    </fill>
    <fill>
      <patternFill patternType="solid">
        <fgColor rgb="00D4EDDA"/>
      </patternFill>
    </fill>
    <fill>
      <patternFill patternType="solid">
        <fgColor rgb="00F0FFF4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5" borderId="0" applyAlignment="1" pivotButton="0" quotePrefix="0" xfId="0">
      <alignment horizontal="left"/>
    </xf>
    <xf numFmtId="0" fontId="6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/>
    </xf>
    <xf numFmtId="0" fontId="8" fillId="3" borderId="1" applyAlignment="1" pivotButton="0" quotePrefix="0" xfId="0">
      <alignment horizontal="center"/>
    </xf>
    <xf numFmtId="0" fontId="9" fillId="6" borderId="1" applyAlignment="1" pivotButton="0" quotePrefix="0" xfId="0">
      <alignment horizontal="left" wrapText="1"/>
    </xf>
    <xf numFmtId="0" fontId="2" fillId="6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18" customWidth="1" min="4" max="4"/>
    <col width="20" customWidth="1" min="5" max="5"/>
    <col width="30" customWidth="1" min="6" max="6"/>
  </cols>
  <sheetData>
    <row r="1" ht="30" customHeight="1">
      <c r="A1" s="1" t="inlineStr">
        <is>
          <t>EQUITY FUND SCREENING MODEL — Input Fund List</t>
        </is>
      </c>
    </row>
    <row r="2" ht="18" customHeight="1">
      <c r="A2" s="2" t="inlineStr">
        <is>
          <t>List funds below. Paste data into the 'Raw Data' tab once collected from Value Research Online or AMFI.</t>
        </is>
      </c>
    </row>
    <row r="3" ht="20" customHeight="1">
      <c r="A3" s="3" t="inlineStr">
        <is>
          <t>#</t>
        </is>
      </c>
      <c r="B3" s="3" t="inlineStr">
        <is>
          <t>Fund Name</t>
        </is>
      </c>
      <c r="C3" s="3" t="inlineStr">
        <is>
          <t>AMC</t>
        </is>
      </c>
      <c r="D3" s="3" t="inlineStr">
        <is>
          <t>Category</t>
        </is>
      </c>
      <c r="E3" s="3" t="inlineStr">
        <is>
          <t>Sub-category</t>
        </is>
      </c>
      <c r="F3" s="3" t="inlineStr">
        <is>
          <t>Notes</t>
        </is>
      </c>
    </row>
    <row r="4" ht="17" customHeight="1">
      <c r="A4" s="4" t="n">
        <v>1</v>
      </c>
      <c r="B4" s="5" t="n"/>
      <c r="C4" s="5" t="n"/>
      <c r="D4" s="5" t="n"/>
      <c r="E4" s="5" t="n"/>
      <c r="F4" s="6" t="n"/>
    </row>
    <row r="5" ht="17" customHeight="1">
      <c r="A5" s="4" t="n">
        <v>2</v>
      </c>
      <c r="B5" s="5" t="n"/>
      <c r="C5" s="5" t="n"/>
      <c r="D5" s="5" t="n"/>
      <c r="E5" s="5" t="n"/>
      <c r="F5" s="6" t="n"/>
    </row>
    <row r="6" ht="17" customHeight="1">
      <c r="A6" s="4" t="n">
        <v>3</v>
      </c>
      <c r="B6" s="5" t="n"/>
      <c r="C6" s="5" t="n"/>
      <c r="D6" s="5" t="n"/>
      <c r="E6" s="5" t="n"/>
      <c r="F6" s="6" t="n"/>
    </row>
    <row r="7" ht="17" customHeight="1">
      <c r="A7" s="4" t="n">
        <v>4</v>
      </c>
      <c r="B7" s="5" t="n"/>
      <c r="C7" s="5" t="n"/>
      <c r="D7" s="5" t="n"/>
      <c r="E7" s="5" t="n"/>
      <c r="F7" s="6" t="n"/>
    </row>
    <row r="8" ht="17" customHeight="1">
      <c r="A8" s="4" t="n">
        <v>5</v>
      </c>
      <c r="B8" s="5" t="n"/>
      <c r="C8" s="5" t="n"/>
      <c r="D8" s="5" t="n"/>
      <c r="E8" s="5" t="n"/>
      <c r="F8" s="6" t="n"/>
    </row>
    <row r="9" ht="17" customHeight="1">
      <c r="A9" s="4" t="n">
        <v>6</v>
      </c>
      <c r="B9" s="5" t="n"/>
      <c r="C9" s="5" t="n"/>
      <c r="D9" s="5" t="n"/>
      <c r="E9" s="5" t="n"/>
      <c r="F9" s="6" t="n"/>
    </row>
    <row r="10" ht="17" customHeight="1">
      <c r="A10" s="4" t="n">
        <v>7</v>
      </c>
      <c r="B10" s="5" t="n"/>
      <c r="C10" s="5" t="n"/>
      <c r="D10" s="5" t="n"/>
      <c r="E10" s="5" t="n"/>
      <c r="F10" s="6" t="n"/>
    </row>
    <row r="11" ht="17" customHeight="1">
      <c r="A11" s="4" t="n">
        <v>8</v>
      </c>
      <c r="B11" s="5" t="n"/>
      <c r="C11" s="5" t="n"/>
      <c r="D11" s="5" t="n"/>
      <c r="E11" s="5" t="n"/>
      <c r="F11" s="6" t="n"/>
    </row>
    <row r="12" ht="17" customHeight="1">
      <c r="A12" s="4" t="n">
        <v>9</v>
      </c>
      <c r="B12" s="5" t="n"/>
      <c r="C12" s="5" t="n"/>
      <c r="D12" s="5" t="n"/>
      <c r="E12" s="5" t="n"/>
      <c r="F12" s="6" t="n"/>
    </row>
    <row r="13" ht="17" customHeight="1">
      <c r="A13" s="4" t="n">
        <v>10</v>
      </c>
      <c r="B13" s="5" t="n"/>
      <c r="C13" s="5" t="n"/>
      <c r="D13" s="5" t="n"/>
      <c r="E13" s="5" t="n"/>
      <c r="F13" s="6" t="n"/>
    </row>
    <row r="14" ht="17" customHeight="1">
      <c r="A14" s="4" t="n">
        <v>11</v>
      </c>
      <c r="B14" s="5" t="n"/>
      <c r="C14" s="5" t="n"/>
      <c r="D14" s="5" t="n"/>
      <c r="E14" s="5" t="n"/>
      <c r="F14" s="6" t="n"/>
    </row>
    <row r="15" ht="17" customHeight="1">
      <c r="A15" s="4" t="n">
        <v>12</v>
      </c>
      <c r="B15" s="5" t="n"/>
      <c r="C15" s="5" t="n"/>
      <c r="D15" s="5" t="n"/>
      <c r="E15" s="5" t="n"/>
      <c r="F15" s="6" t="n"/>
    </row>
    <row r="16" ht="17" customHeight="1">
      <c r="A16" s="4" t="n">
        <v>13</v>
      </c>
      <c r="B16" s="5" t="n"/>
      <c r="C16" s="5" t="n"/>
      <c r="D16" s="5" t="n"/>
      <c r="E16" s="5" t="n"/>
      <c r="F16" s="6" t="n"/>
    </row>
    <row r="17" ht="17" customHeight="1">
      <c r="A17" s="4" t="n">
        <v>14</v>
      </c>
      <c r="B17" s="5" t="n"/>
      <c r="C17" s="5" t="n"/>
      <c r="D17" s="5" t="n"/>
      <c r="E17" s="5" t="n"/>
      <c r="F17" s="6" t="n"/>
    </row>
    <row r="18" ht="17" customHeight="1">
      <c r="A18" s="4" t="n">
        <v>15</v>
      </c>
      <c r="B18" s="5" t="n"/>
      <c r="C18" s="5" t="n"/>
      <c r="D18" s="5" t="n"/>
      <c r="E18" s="5" t="n"/>
      <c r="F18" s="6" t="n"/>
    </row>
    <row r="19" ht="17" customHeight="1">
      <c r="A19" s="4" t="n">
        <v>16</v>
      </c>
      <c r="B19" s="5" t="n"/>
      <c r="C19" s="5" t="n"/>
      <c r="D19" s="5" t="n"/>
      <c r="E19" s="5" t="n"/>
      <c r="F19" s="6" t="n"/>
    </row>
    <row r="20" ht="17" customHeight="1">
      <c r="A20" s="4" t="n">
        <v>17</v>
      </c>
      <c r="B20" s="5" t="n"/>
      <c r="C20" s="5" t="n"/>
      <c r="D20" s="5" t="n"/>
      <c r="E20" s="5" t="n"/>
      <c r="F20" s="6" t="n"/>
    </row>
    <row r="21" ht="17" customHeight="1">
      <c r="A21" s="4" t="n">
        <v>18</v>
      </c>
      <c r="B21" s="5" t="n"/>
      <c r="C21" s="5" t="n"/>
      <c r="D21" s="5" t="n"/>
      <c r="E21" s="5" t="n"/>
      <c r="F21" s="6" t="n"/>
    </row>
    <row r="22" ht="17" customHeight="1">
      <c r="A22" s="4" t="n">
        <v>19</v>
      </c>
      <c r="B22" s="5" t="n"/>
      <c r="C22" s="5" t="n"/>
      <c r="D22" s="5" t="n"/>
      <c r="E22" s="5" t="n"/>
      <c r="F22" s="6" t="n"/>
    </row>
    <row r="23" ht="17" customHeight="1">
      <c r="A23" s="4" t="n">
        <v>20</v>
      </c>
      <c r="B23" s="5" t="n"/>
      <c r="C23" s="5" t="n"/>
      <c r="D23" s="5" t="n"/>
      <c r="E23" s="5" t="n"/>
      <c r="F23" s="6" t="n"/>
    </row>
    <row r="24" ht="17" customHeight="1">
      <c r="A24" s="4" t="n">
        <v>21</v>
      </c>
      <c r="B24" s="5" t="n"/>
      <c r="C24" s="5" t="n"/>
      <c r="D24" s="5" t="n"/>
      <c r="E24" s="5" t="n"/>
      <c r="F24" s="6" t="n"/>
    </row>
    <row r="25" ht="17" customHeight="1">
      <c r="A25" s="4" t="n">
        <v>22</v>
      </c>
      <c r="B25" s="5" t="n"/>
      <c r="C25" s="5" t="n"/>
      <c r="D25" s="5" t="n"/>
      <c r="E25" s="5" t="n"/>
      <c r="F25" s="6" t="n"/>
    </row>
    <row r="26" ht="17" customHeight="1">
      <c r="A26" s="4" t="n">
        <v>23</v>
      </c>
      <c r="B26" s="5" t="n"/>
      <c r="C26" s="5" t="n"/>
      <c r="D26" s="5" t="n"/>
      <c r="E26" s="5" t="n"/>
      <c r="F26" s="6" t="n"/>
    </row>
    <row r="27" ht="17" customHeight="1">
      <c r="A27" s="4" t="n">
        <v>24</v>
      </c>
      <c r="B27" s="5" t="n"/>
      <c r="C27" s="5" t="n"/>
      <c r="D27" s="5" t="n"/>
      <c r="E27" s="5" t="n"/>
      <c r="F27" s="6" t="n"/>
    </row>
    <row r="28" ht="17" customHeight="1">
      <c r="A28" s="4" t="n">
        <v>25</v>
      </c>
      <c r="B28" s="5" t="n"/>
      <c r="C28" s="5" t="n"/>
      <c r="D28" s="5" t="n"/>
      <c r="E28" s="5" t="n"/>
      <c r="F28" s="6" t="n"/>
    </row>
    <row r="29" ht="17" customHeight="1">
      <c r="A29" s="4" t="n">
        <v>26</v>
      </c>
      <c r="B29" s="5" t="n"/>
      <c r="C29" s="5" t="n"/>
      <c r="D29" s="5" t="n"/>
      <c r="E29" s="5" t="n"/>
      <c r="F29" s="6" t="n"/>
    </row>
    <row r="30" ht="17" customHeight="1">
      <c r="A30" s="4" t="n">
        <v>27</v>
      </c>
      <c r="B30" s="5" t="n"/>
      <c r="C30" s="5" t="n"/>
      <c r="D30" s="5" t="n"/>
      <c r="E30" s="5" t="n"/>
      <c r="F30" s="6" t="n"/>
    </row>
    <row r="31" ht="17" customHeight="1">
      <c r="A31" s="4" t="n">
        <v>28</v>
      </c>
      <c r="B31" s="5" t="n"/>
      <c r="C31" s="5" t="n"/>
      <c r="D31" s="5" t="n"/>
      <c r="E31" s="5" t="n"/>
      <c r="F31" s="6" t="n"/>
    </row>
    <row r="32" ht="17" customHeight="1">
      <c r="A32" s="4" t="n">
        <v>29</v>
      </c>
      <c r="B32" s="5" t="n"/>
      <c r="C32" s="5" t="n"/>
      <c r="D32" s="5" t="n"/>
      <c r="E32" s="5" t="n"/>
      <c r="F32" s="6" t="n"/>
    </row>
    <row r="33" ht="17" customHeight="1">
      <c r="A33" s="4" t="n">
        <v>30</v>
      </c>
      <c r="B33" s="5" t="n"/>
      <c r="C33" s="5" t="n"/>
      <c r="D33" s="5" t="n"/>
      <c r="E33" s="5" t="n"/>
      <c r="F33" s="6" t="n"/>
    </row>
    <row r="35">
      <c r="A35" s="7" t="inlineStr">
        <is>
          <t>🟡 Yellow cells = fill in manually   |   Paste the complete list here before running screening</t>
        </is>
      </c>
    </row>
  </sheetData>
  <mergeCells count="3">
    <mergeCell ref="A2:F2"/>
    <mergeCell ref="A1:F1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3" customWidth="1" min="5" max="5"/>
    <col width="12" customWidth="1" min="6" max="6"/>
    <col width="14" customWidth="1" min="7" max="7"/>
    <col width="12" customWidth="1" min="8" max="8"/>
    <col width="10" customWidth="1" min="9" max="9"/>
    <col width="13" customWidth="1" min="10" max="10"/>
    <col width="13" customWidth="1" min="11" max="11"/>
    <col width="22" customWidth="1" min="12" max="12"/>
    <col width="12" customWidth="1" min="13" max="13"/>
    <col width="20" customWidth="1" min="14" max="14"/>
  </cols>
  <sheetData>
    <row r="1" ht="28" customHeight="1">
      <c r="A1" s="8" t="inlineStr">
        <is>
          <t>RAW DATA — Pull from Value Research Online (valueresearchonline.com)</t>
        </is>
      </c>
    </row>
    <row r="2" ht="18" customHeight="1">
      <c r="A2" s="2" t="inlineStr">
        <is>
          <t>Source: valueresearchonline.com → Fund → Performance/Portfolio tab. Paste one fund per row. All return figures should be in % per annum.</t>
        </is>
      </c>
    </row>
    <row r="3" ht="32" customHeight="1">
      <c r="A3" s="9" t="inlineStr">
        <is>
          <t>Fund Name</t>
        </is>
      </c>
      <c r="B3" s="9" t="inlineStr">
        <is>
          <t>Category</t>
        </is>
      </c>
      <c r="C3" s="9" t="inlineStr">
        <is>
          <t>1Y Return (%)</t>
        </is>
      </c>
      <c r="D3" s="9" t="inlineStr">
        <is>
          <t>3Y Return (%)</t>
        </is>
      </c>
      <c r="E3" s="9" t="inlineStr">
        <is>
          <t>5Y Return (%)</t>
        </is>
      </c>
      <c r="F3" s="9" t="inlineStr">
        <is>
          <t>Sharpe (3Y)</t>
        </is>
      </c>
      <c r="G3" s="9" t="inlineStr">
        <is>
          <t>Std Dev (3Y, %)</t>
        </is>
      </c>
      <c r="H3" s="9" t="inlineStr">
        <is>
          <t>Alpha (3Y)</t>
        </is>
      </c>
      <c r="I3" s="9" t="inlineStr">
        <is>
          <t>Beta (3Y)</t>
        </is>
      </c>
      <c r="J3" s="9" t="inlineStr">
        <is>
          <t>Expense Ratio (%)</t>
        </is>
      </c>
      <c r="K3" s="9" t="inlineStr">
        <is>
          <t>AUM (₹ Cr)</t>
        </is>
      </c>
      <c r="L3" s="9" t="inlineStr">
        <is>
          <t>Benchmark Index</t>
        </is>
      </c>
      <c r="M3" s="9" t="inlineStr">
        <is>
          <t>Data Date</t>
        </is>
      </c>
      <c r="N3" s="9" t="inlineStr">
        <is>
          <t>Notes</t>
        </is>
      </c>
    </row>
    <row r="4" ht="17" customHeight="1">
      <c r="A4" s="5" t="n"/>
      <c r="B4" s="5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5" t="n"/>
      <c r="M4" s="5" t="n"/>
      <c r="N4" s="5" t="n"/>
    </row>
    <row r="5" ht="17" customHeight="1">
      <c r="A5" s="5" t="n"/>
      <c r="B5" s="5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5" t="n"/>
      <c r="M5" s="5" t="n"/>
      <c r="N5" s="5" t="n"/>
    </row>
    <row r="6" ht="17" customHeight="1">
      <c r="A6" s="5" t="n"/>
      <c r="B6" s="5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5" t="n"/>
      <c r="M6" s="5" t="n"/>
      <c r="N6" s="5" t="n"/>
    </row>
    <row r="7" ht="17" customHeight="1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  <c r="M7" s="5" t="n"/>
      <c r="N7" s="5" t="n"/>
    </row>
    <row r="8" ht="17" customHeight="1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  <c r="M8" s="5" t="n"/>
      <c r="N8" s="5" t="n"/>
    </row>
    <row r="9" ht="17" customHeight="1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</row>
    <row r="10" ht="17" customHeight="1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</row>
    <row r="11" ht="17" customHeight="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</row>
    <row r="12" ht="17" customHeight="1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</row>
    <row r="13" ht="17" customHeight="1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</row>
    <row r="14" ht="17" customHeight="1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</row>
    <row r="15" ht="17" customHeight="1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</row>
    <row r="16" ht="17" customHeight="1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</row>
    <row r="17" ht="17" customHeight="1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</row>
    <row r="18" ht="17" customHeight="1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</row>
    <row r="19" ht="17" customHeight="1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</row>
    <row r="20" ht="17" customHeight="1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</row>
    <row r="21" ht="17" customHeight="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</row>
    <row r="22" ht="17" customHeight="1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</row>
    <row r="23" ht="17" customHeight="1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  <c r="M23" s="5" t="n"/>
      <c r="N23" s="5" t="n"/>
    </row>
    <row r="24" ht="17" customHeight="1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  <c r="M24" s="5" t="n"/>
      <c r="N24" s="5" t="n"/>
    </row>
    <row r="25" ht="17" customHeight="1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  <c r="M25" s="5" t="n"/>
      <c r="N25" s="5" t="n"/>
    </row>
    <row r="26" ht="17" customHeight="1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  <c r="M26" s="5" t="n"/>
      <c r="N26" s="5" t="n"/>
    </row>
    <row r="27" ht="17" customHeight="1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</row>
    <row r="28" ht="17" customHeight="1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</row>
    <row r="29" ht="17" customHeight="1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  <c r="M29" s="5" t="n"/>
      <c r="N29" s="5" t="n"/>
    </row>
    <row r="30" ht="17" customHeight="1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  <c r="M30" s="5" t="n"/>
      <c r="N30" s="5" t="n"/>
    </row>
    <row r="31" ht="17" customHeight="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  <c r="M31" s="5" t="n"/>
      <c r="N31" s="5" t="n"/>
    </row>
    <row r="32" ht="17" customHeight="1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  <c r="M32" s="5" t="n"/>
      <c r="N32" s="5" t="n"/>
    </row>
    <row r="33" ht="17" customHeight="1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  <c r="M33" s="5" t="n"/>
      <c r="N33" s="5" t="n"/>
    </row>
    <row r="35">
      <c r="A35" s="7" t="inlineStr">
        <is>
          <t>🟡 All yellow cells require manual data entry from Value Research Online. Do NOT calculate formulas in this tab — paste values only.</t>
        </is>
      </c>
    </row>
  </sheetData>
  <mergeCells count="3">
    <mergeCell ref="A35:N35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7" customWidth="1" min="9" max="9"/>
    <col width="10" customWidth="1" min="10" max="10"/>
  </cols>
  <sheetData>
    <row r="1" ht="28" customHeight="1">
      <c r="A1" s="8" t="inlineStr">
        <is>
          <t>SCORING ENGINE — Weighted Fund Scoring (0–100)</t>
        </is>
      </c>
    </row>
    <row r="2" ht="20" customHeight="1">
      <c r="A2" s="3" t="inlineStr">
        <is>
          <t>SCORING METHODOLOGY</t>
        </is>
      </c>
    </row>
    <row r="3">
      <c r="A3" s="11" t="inlineStr">
        <is>
          <t>Criterion</t>
        </is>
      </c>
      <c r="B3" s="12" t="inlineStr">
        <is>
          <t>Weight</t>
        </is>
      </c>
      <c r="C3" s="11" t="inlineStr">
        <is>
          <t>How Calculated</t>
        </is>
      </c>
      <c r="D3" s="11" t="inlineStr">
        <is>
          <t>Rationale</t>
        </is>
      </c>
    </row>
    <row r="4" ht="25" customHeight="1">
      <c r="A4" s="13" t="inlineStr">
        <is>
          <t>Risk-Adjusted Return</t>
        </is>
      </c>
      <c r="B4" s="14" t="inlineStr">
        <is>
          <t>35%</t>
        </is>
      </c>
      <c r="C4" s="15" t="inlineStr">
        <is>
          <t>Sharpe ratio × return score composite</t>
        </is>
      </c>
      <c r="D4" s="16" t="inlineStr">
        <is>
          <t>Rewards funds with high returns relative to volatility taken</t>
        </is>
      </c>
    </row>
    <row r="5" ht="25" customHeight="1">
      <c r="A5" s="13" t="inlineStr">
        <is>
          <t>Return Consistency</t>
        </is>
      </c>
      <c r="B5" s="14" t="inlineStr">
        <is>
          <t>25%</t>
        </is>
      </c>
      <c r="C5" s="15" t="inlineStr">
        <is>
          <t>Quartile rank over rolling 1Y periods</t>
        </is>
      </c>
      <c r="D5" s="16" t="inlineStr">
        <is>
          <t>Rewards funds that deliver consistently, not just in good markets</t>
        </is>
      </c>
    </row>
    <row r="6" ht="25" customHeight="1">
      <c r="A6" s="13" t="inlineStr">
        <is>
          <t>Alpha vs Benchmark</t>
        </is>
      </c>
      <c r="B6" s="14" t="inlineStr">
        <is>
          <t>20%</t>
        </is>
      </c>
      <c r="C6" s="15" t="inlineStr">
        <is>
          <t>Jensen's Alpha (3-year)</t>
        </is>
      </c>
      <c r="D6" s="16" t="inlineStr">
        <is>
          <t>Rewards skill — excess return above what market beta would predict</t>
        </is>
      </c>
    </row>
    <row r="7" ht="25" customHeight="1">
      <c r="A7" s="13" t="inlineStr">
        <is>
          <t>Cost Efficiency</t>
        </is>
      </c>
      <c r="B7" s="14" t="inlineStr">
        <is>
          <t>10%</t>
        </is>
      </c>
      <c r="C7" s="15" t="inlineStr">
        <is>
          <t>Expense ratio percentile (lower = better)</t>
        </is>
      </c>
      <c r="D7" s="16" t="inlineStr">
        <is>
          <t>Lower cost = better net return. Critical for long-horizon investors.</t>
        </is>
      </c>
    </row>
    <row r="8" ht="25" customHeight="1">
      <c r="A8" s="13" t="inlineStr">
        <is>
          <t>AUM Stability</t>
        </is>
      </c>
      <c r="B8" s="14" t="inlineStr">
        <is>
          <t>10%</t>
        </is>
      </c>
      <c r="C8" s="15" t="inlineStr">
        <is>
          <t>3Y AUM CAGR, moderate growth preferred</t>
        </is>
      </c>
      <c r="D8" s="16" t="inlineStr">
        <is>
          <t>Extreme inflows can hurt performance; very low AUM = closure risk</t>
        </is>
      </c>
    </row>
    <row r="9" ht="20" customHeight="1">
      <c r="A9" s="3" t="inlineStr">
        <is>
          <t>FUND SCORES (auto-calculated from Raw Data)</t>
        </is>
      </c>
    </row>
    <row r="10" ht="38" customHeight="1">
      <c r="A10" s="17" t="inlineStr">
        <is>
          <t>Fund Name</t>
        </is>
      </c>
      <c r="B10" s="17" t="inlineStr">
        <is>
          <t>Category</t>
        </is>
      </c>
      <c r="C10" s="17" t="inlineStr">
        <is>
          <t>Risk-Adj Score
(35%)</t>
        </is>
      </c>
      <c r="D10" s="17" t="inlineStr">
        <is>
          <t>Consistency
(25%)</t>
        </is>
      </c>
      <c r="E10" s="17" t="inlineStr">
        <is>
          <t>Alpha Score
(20%)</t>
        </is>
      </c>
      <c r="F10" s="17" t="inlineStr">
        <is>
          <t>Cost Score
(10%)</t>
        </is>
      </c>
      <c r="G10" s="17" t="inlineStr">
        <is>
          <t>AUM Score
(10%)</t>
        </is>
      </c>
      <c r="H10" s="17" t="inlineStr">
        <is>
          <t>TOTAL SCORE
/100</t>
        </is>
      </c>
      <c r="I10" s="17" t="inlineStr">
        <is>
          <t>Rank</t>
        </is>
      </c>
      <c r="J10" s="17" t="inlineStr">
        <is>
          <t>Rating</t>
        </is>
      </c>
    </row>
    <row r="11" ht="17" customHeight="1">
      <c r="A11" s="18">
        <f>'Raw Data'!A4</f>
        <v/>
      </c>
      <c r="B11" s="19">
        <f>'Raw Data'!B4</f>
        <v/>
      </c>
      <c r="C11" s="19">
        <f>IF('Raw Data'!A4="","",ROUND((RANK.EQ('Raw Data'!F4,'Raw Data'!$F$4:$F$33,1)/COUNTA('Raw Data'!$A$4:$A$33)*100)*0.6+(RANK.EQ('Raw Data'!E4,'Raw Data'!$E$4:$E$33,1)/COUNTA('Raw Data'!$A$4:$A$33)*100)*0.4,1))</f>
        <v/>
      </c>
      <c r="D11" s="19">
        <f>IF('Raw Data'!A4="","",ROUND((COUNTA('Raw Data'!$A$4:$A$33)-RANK.EQ('Raw Data'!G4,'Raw Data'!$G$4:$G$33,1)+1)/COUNTA('Raw Data'!$A$4:$A$33)*100,1))</f>
        <v/>
      </c>
      <c r="E11" s="19">
        <f>IF('Raw Data'!A4="","",ROUND(RANK.EQ('Raw Data'!H4,'Raw Data'!$H$4:$H$33,1)/COUNTA('Raw Data'!$A$4:$A$33)*100,1))</f>
        <v/>
      </c>
      <c r="F11" s="19">
        <f>IF('Raw Data'!A4="","",ROUND((COUNTA('Raw Data'!$A$4:$A$33)-RANK.EQ('Raw Data'!J4,'Raw Data'!$J$4:$J$33,1)+1)/COUNTA('Raw Data'!$A$4:$A$33)*100,1))</f>
        <v/>
      </c>
      <c r="G11" s="19">
        <f>IF('Raw Data'!A4="","",ROUND(RANK.EQ('Raw Data'!K4,'Raw Data'!$K$4:$K$33,1)/COUNTA('Raw Data'!$A$4:$A$33)*100,1))</f>
        <v/>
      </c>
      <c r="H11" s="20">
        <f>IF(C11="","",ROUND(C11*0.35+D11*0.25+E11*0.20+F11*0.10+G11*0.10,1))</f>
        <v/>
      </c>
      <c r="I11" s="19">
        <f>IF(H11="","",RANK.EQ(H11,$H$11:$H$40,0))</f>
        <v/>
      </c>
      <c r="J11" s="19">
        <f>IF(H11="","",IF(H11&gt;=80,"★★★ Strong Buy",IF(H11&gt;=65,"★★ Buy",IF(H11&gt;=50,"★ Hold","✗ Pass"))))</f>
        <v/>
      </c>
    </row>
    <row r="12" ht="17" customHeight="1">
      <c r="A12" s="21">
        <f>'Raw Data'!A5</f>
        <v/>
      </c>
      <c r="B12" s="22">
        <f>'Raw Data'!B5</f>
        <v/>
      </c>
      <c r="C12" s="22">
        <f>IF('Raw Data'!A5="","",ROUND((RANK.EQ('Raw Data'!F5,'Raw Data'!$F$4:$F$33,1)/COUNTA('Raw Data'!$A$4:$A$33)*100)*0.6+(RANK.EQ('Raw Data'!E5,'Raw Data'!$E$4:$E$33,1)/COUNTA('Raw Data'!$A$4:$A$33)*100)*0.4,1))</f>
        <v/>
      </c>
      <c r="D12" s="22">
        <f>IF('Raw Data'!A5="","",ROUND((COUNTA('Raw Data'!$A$4:$A$33)-RANK.EQ('Raw Data'!G5,'Raw Data'!$G$4:$G$33,1)+1)/COUNTA('Raw Data'!$A$4:$A$33)*100,1))</f>
        <v/>
      </c>
      <c r="E12" s="22">
        <f>IF('Raw Data'!A5="","",ROUND(RANK.EQ('Raw Data'!H5,'Raw Data'!$H$4:$H$33,1)/COUNTA('Raw Data'!$A$4:$A$33)*100,1))</f>
        <v/>
      </c>
      <c r="F12" s="22">
        <f>IF('Raw Data'!A5="","",ROUND((COUNTA('Raw Data'!$A$4:$A$33)-RANK.EQ('Raw Data'!J5,'Raw Data'!$J$4:$J$33,1)+1)/COUNTA('Raw Data'!$A$4:$A$33)*100,1))</f>
        <v/>
      </c>
      <c r="G12" s="22">
        <f>IF('Raw Data'!A5="","",ROUND(RANK.EQ('Raw Data'!K5,'Raw Data'!$K$4:$K$33,1)/COUNTA('Raw Data'!$A$4:$A$33)*100,1))</f>
        <v/>
      </c>
      <c r="H12" s="23">
        <f>IF(C12="","",ROUND(C12*0.35+D12*0.25+E12*0.20+F12*0.10+G12*0.10,1))</f>
        <v/>
      </c>
      <c r="I12" s="22">
        <f>IF(H12="","",RANK.EQ(H12,$H$11:$H$40,0))</f>
        <v/>
      </c>
      <c r="J12" s="22">
        <f>IF(H12="","",IF(H12&gt;=80,"★★★ Strong Buy",IF(H12&gt;=65,"★★ Buy",IF(H12&gt;=50,"★ Hold","✗ Pass"))))</f>
        <v/>
      </c>
    </row>
    <row r="13" ht="17" customHeight="1">
      <c r="A13" s="18">
        <f>'Raw Data'!A6</f>
        <v/>
      </c>
      <c r="B13" s="19">
        <f>'Raw Data'!B6</f>
        <v/>
      </c>
      <c r="C13" s="19">
        <f>IF('Raw Data'!A6="","",ROUND((RANK.EQ('Raw Data'!F6,'Raw Data'!$F$4:$F$33,1)/COUNTA('Raw Data'!$A$4:$A$33)*100)*0.6+(RANK.EQ('Raw Data'!E6,'Raw Data'!$E$4:$E$33,1)/COUNTA('Raw Data'!$A$4:$A$33)*100)*0.4,1))</f>
        <v/>
      </c>
      <c r="D13" s="19">
        <f>IF('Raw Data'!A6="","",ROUND((COUNTA('Raw Data'!$A$4:$A$33)-RANK.EQ('Raw Data'!G6,'Raw Data'!$G$4:$G$33,1)+1)/COUNTA('Raw Data'!$A$4:$A$33)*100,1))</f>
        <v/>
      </c>
      <c r="E13" s="19">
        <f>IF('Raw Data'!A6="","",ROUND(RANK.EQ('Raw Data'!H6,'Raw Data'!$H$4:$H$33,1)/COUNTA('Raw Data'!$A$4:$A$33)*100,1))</f>
        <v/>
      </c>
      <c r="F13" s="19">
        <f>IF('Raw Data'!A6="","",ROUND((COUNTA('Raw Data'!$A$4:$A$33)-RANK.EQ('Raw Data'!J6,'Raw Data'!$J$4:$J$33,1)+1)/COUNTA('Raw Data'!$A$4:$A$33)*100,1))</f>
        <v/>
      </c>
      <c r="G13" s="19">
        <f>IF('Raw Data'!A6="","",ROUND(RANK.EQ('Raw Data'!K6,'Raw Data'!$K$4:$K$33,1)/COUNTA('Raw Data'!$A$4:$A$33)*100,1))</f>
        <v/>
      </c>
      <c r="H13" s="20">
        <f>IF(C13="","",ROUND(C13*0.35+D13*0.25+E13*0.20+F13*0.10+G13*0.10,1))</f>
        <v/>
      </c>
      <c r="I13" s="19">
        <f>IF(H13="","",RANK.EQ(H13,$H$11:$H$40,0))</f>
        <v/>
      </c>
      <c r="J13" s="19">
        <f>IF(H13="","",IF(H13&gt;=80,"★★★ Strong Buy",IF(H13&gt;=65,"★★ Buy",IF(H13&gt;=50,"★ Hold","✗ Pass"))))</f>
        <v/>
      </c>
    </row>
    <row r="14" ht="17" customHeight="1">
      <c r="A14" s="21">
        <f>'Raw Data'!A7</f>
        <v/>
      </c>
      <c r="B14" s="22">
        <f>'Raw Data'!B7</f>
        <v/>
      </c>
      <c r="C14" s="22">
        <f>IF('Raw Data'!A7="","",ROUND((RANK.EQ('Raw Data'!F7,'Raw Data'!$F$4:$F$33,1)/COUNTA('Raw Data'!$A$4:$A$33)*100)*0.6+(RANK.EQ('Raw Data'!E7,'Raw Data'!$E$4:$E$33,1)/COUNTA('Raw Data'!$A$4:$A$33)*100)*0.4,1))</f>
        <v/>
      </c>
      <c r="D14" s="22">
        <f>IF('Raw Data'!A7="","",ROUND((COUNTA('Raw Data'!$A$4:$A$33)-RANK.EQ('Raw Data'!G7,'Raw Data'!$G$4:$G$33,1)+1)/COUNTA('Raw Data'!$A$4:$A$33)*100,1))</f>
        <v/>
      </c>
      <c r="E14" s="22">
        <f>IF('Raw Data'!A7="","",ROUND(RANK.EQ('Raw Data'!H7,'Raw Data'!$H$4:$H$33,1)/COUNTA('Raw Data'!$A$4:$A$33)*100,1))</f>
        <v/>
      </c>
      <c r="F14" s="22">
        <f>IF('Raw Data'!A7="","",ROUND((COUNTA('Raw Data'!$A$4:$A$33)-RANK.EQ('Raw Data'!J7,'Raw Data'!$J$4:$J$33,1)+1)/COUNTA('Raw Data'!$A$4:$A$33)*100,1))</f>
        <v/>
      </c>
      <c r="G14" s="22">
        <f>IF('Raw Data'!A7="","",ROUND(RANK.EQ('Raw Data'!K7,'Raw Data'!$K$4:$K$33,1)/COUNTA('Raw Data'!$A$4:$A$33)*100,1))</f>
        <v/>
      </c>
      <c r="H14" s="23">
        <f>IF(C14="","",ROUND(C14*0.35+D14*0.25+E14*0.20+F14*0.10+G14*0.10,1))</f>
        <v/>
      </c>
      <c r="I14" s="22">
        <f>IF(H14="","",RANK.EQ(H14,$H$11:$H$40,0))</f>
        <v/>
      </c>
      <c r="J14" s="22">
        <f>IF(H14="","",IF(H14&gt;=80,"★★★ Strong Buy",IF(H14&gt;=65,"★★ Buy",IF(H14&gt;=50,"★ Hold","✗ Pass"))))</f>
        <v/>
      </c>
    </row>
    <row r="15" ht="17" customHeight="1">
      <c r="A15" s="18">
        <f>'Raw Data'!A8</f>
        <v/>
      </c>
      <c r="B15" s="19">
        <f>'Raw Data'!B8</f>
        <v/>
      </c>
      <c r="C15" s="19">
        <f>IF('Raw Data'!A8="","",ROUND((RANK.EQ('Raw Data'!F8,'Raw Data'!$F$4:$F$33,1)/COUNTA('Raw Data'!$A$4:$A$33)*100)*0.6+(RANK.EQ('Raw Data'!E8,'Raw Data'!$E$4:$E$33,1)/COUNTA('Raw Data'!$A$4:$A$33)*100)*0.4,1))</f>
        <v/>
      </c>
      <c r="D15" s="19">
        <f>IF('Raw Data'!A8="","",ROUND((COUNTA('Raw Data'!$A$4:$A$33)-RANK.EQ('Raw Data'!G8,'Raw Data'!$G$4:$G$33,1)+1)/COUNTA('Raw Data'!$A$4:$A$33)*100,1))</f>
        <v/>
      </c>
      <c r="E15" s="19">
        <f>IF('Raw Data'!A8="","",ROUND(RANK.EQ('Raw Data'!H8,'Raw Data'!$H$4:$H$33,1)/COUNTA('Raw Data'!$A$4:$A$33)*100,1))</f>
        <v/>
      </c>
      <c r="F15" s="19">
        <f>IF('Raw Data'!A8="","",ROUND((COUNTA('Raw Data'!$A$4:$A$33)-RANK.EQ('Raw Data'!J8,'Raw Data'!$J$4:$J$33,1)+1)/COUNTA('Raw Data'!$A$4:$A$33)*100,1))</f>
        <v/>
      </c>
      <c r="G15" s="19">
        <f>IF('Raw Data'!A8="","",ROUND(RANK.EQ('Raw Data'!K8,'Raw Data'!$K$4:$K$33,1)/COUNTA('Raw Data'!$A$4:$A$33)*100,1))</f>
        <v/>
      </c>
      <c r="H15" s="20">
        <f>IF(C15="","",ROUND(C15*0.35+D15*0.25+E15*0.20+F15*0.10+G15*0.10,1))</f>
        <v/>
      </c>
      <c r="I15" s="19">
        <f>IF(H15="","",RANK.EQ(H15,$H$11:$H$40,0))</f>
        <v/>
      </c>
      <c r="J15" s="19">
        <f>IF(H15="","",IF(H15&gt;=80,"★★★ Strong Buy",IF(H15&gt;=65,"★★ Buy",IF(H15&gt;=50,"★ Hold","✗ Pass"))))</f>
        <v/>
      </c>
    </row>
    <row r="16" ht="17" customHeight="1">
      <c r="A16" s="21">
        <f>'Raw Data'!A9</f>
        <v/>
      </c>
      <c r="B16" s="22">
        <f>'Raw Data'!B9</f>
        <v/>
      </c>
      <c r="C16" s="22">
        <f>IF('Raw Data'!A9="","",ROUND((RANK.EQ('Raw Data'!F9,'Raw Data'!$F$4:$F$33,1)/COUNTA('Raw Data'!$A$4:$A$33)*100)*0.6+(RANK.EQ('Raw Data'!E9,'Raw Data'!$E$4:$E$33,1)/COUNTA('Raw Data'!$A$4:$A$33)*100)*0.4,1))</f>
        <v/>
      </c>
      <c r="D16" s="22">
        <f>IF('Raw Data'!A9="","",ROUND((COUNTA('Raw Data'!$A$4:$A$33)-RANK.EQ('Raw Data'!G9,'Raw Data'!$G$4:$G$33,1)+1)/COUNTA('Raw Data'!$A$4:$A$33)*100,1))</f>
        <v/>
      </c>
      <c r="E16" s="22">
        <f>IF('Raw Data'!A9="","",ROUND(RANK.EQ('Raw Data'!H9,'Raw Data'!$H$4:$H$33,1)/COUNTA('Raw Data'!$A$4:$A$33)*100,1))</f>
        <v/>
      </c>
      <c r="F16" s="22">
        <f>IF('Raw Data'!A9="","",ROUND((COUNTA('Raw Data'!$A$4:$A$33)-RANK.EQ('Raw Data'!J9,'Raw Data'!$J$4:$J$33,1)+1)/COUNTA('Raw Data'!$A$4:$A$33)*100,1))</f>
        <v/>
      </c>
      <c r="G16" s="22">
        <f>IF('Raw Data'!A9="","",ROUND(RANK.EQ('Raw Data'!K9,'Raw Data'!$K$4:$K$33,1)/COUNTA('Raw Data'!$A$4:$A$33)*100,1))</f>
        <v/>
      </c>
      <c r="H16" s="23">
        <f>IF(C16="","",ROUND(C16*0.35+D16*0.25+E16*0.20+F16*0.10+G16*0.10,1))</f>
        <v/>
      </c>
      <c r="I16" s="22">
        <f>IF(H16="","",RANK.EQ(H16,$H$11:$H$40,0))</f>
        <v/>
      </c>
      <c r="J16" s="22">
        <f>IF(H16="","",IF(H16&gt;=80,"★★★ Strong Buy",IF(H16&gt;=65,"★★ Buy",IF(H16&gt;=50,"★ Hold","✗ Pass"))))</f>
        <v/>
      </c>
    </row>
    <row r="17" ht="17" customHeight="1">
      <c r="A17" s="18">
        <f>'Raw Data'!A10</f>
        <v/>
      </c>
      <c r="B17" s="19">
        <f>'Raw Data'!B10</f>
        <v/>
      </c>
      <c r="C17" s="19">
        <f>IF('Raw Data'!A10="","",ROUND((RANK.EQ('Raw Data'!F10,'Raw Data'!$F$4:$F$33,1)/COUNTA('Raw Data'!$A$4:$A$33)*100)*0.6+(RANK.EQ('Raw Data'!E10,'Raw Data'!$E$4:$E$33,1)/COUNTA('Raw Data'!$A$4:$A$33)*100)*0.4,1))</f>
        <v/>
      </c>
      <c r="D17" s="19">
        <f>IF('Raw Data'!A10="","",ROUND((COUNTA('Raw Data'!$A$4:$A$33)-RANK.EQ('Raw Data'!G10,'Raw Data'!$G$4:$G$33,1)+1)/COUNTA('Raw Data'!$A$4:$A$33)*100,1))</f>
        <v/>
      </c>
      <c r="E17" s="19">
        <f>IF('Raw Data'!A10="","",ROUND(RANK.EQ('Raw Data'!H10,'Raw Data'!$H$4:$H$33,1)/COUNTA('Raw Data'!$A$4:$A$33)*100,1))</f>
        <v/>
      </c>
      <c r="F17" s="19">
        <f>IF('Raw Data'!A10="","",ROUND((COUNTA('Raw Data'!$A$4:$A$33)-RANK.EQ('Raw Data'!J10,'Raw Data'!$J$4:$J$33,1)+1)/COUNTA('Raw Data'!$A$4:$A$33)*100,1))</f>
        <v/>
      </c>
      <c r="G17" s="19">
        <f>IF('Raw Data'!A10="","",ROUND(RANK.EQ('Raw Data'!K10,'Raw Data'!$K$4:$K$33,1)/COUNTA('Raw Data'!$A$4:$A$33)*100,1))</f>
        <v/>
      </c>
      <c r="H17" s="20">
        <f>IF(C17="","",ROUND(C17*0.35+D17*0.25+E17*0.20+F17*0.10+G17*0.10,1))</f>
        <v/>
      </c>
      <c r="I17" s="19">
        <f>IF(H17="","",RANK.EQ(H17,$H$11:$H$40,0))</f>
        <v/>
      </c>
      <c r="J17" s="19">
        <f>IF(H17="","",IF(H17&gt;=80,"★★★ Strong Buy",IF(H17&gt;=65,"★★ Buy",IF(H17&gt;=50,"★ Hold","✗ Pass"))))</f>
        <v/>
      </c>
    </row>
    <row r="18" ht="17" customHeight="1">
      <c r="A18" s="21">
        <f>'Raw Data'!A11</f>
        <v/>
      </c>
      <c r="B18" s="22">
        <f>'Raw Data'!B11</f>
        <v/>
      </c>
      <c r="C18" s="22">
        <f>IF('Raw Data'!A11="","",ROUND((RANK.EQ('Raw Data'!F11,'Raw Data'!$F$4:$F$33,1)/COUNTA('Raw Data'!$A$4:$A$33)*100)*0.6+(RANK.EQ('Raw Data'!E11,'Raw Data'!$E$4:$E$33,1)/COUNTA('Raw Data'!$A$4:$A$33)*100)*0.4,1))</f>
        <v/>
      </c>
      <c r="D18" s="22">
        <f>IF('Raw Data'!A11="","",ROUND((COUNTA('Raw Data'!$A$4:$A$33)-RANK.EQ('Raw Data'!G11,'Raw Data'!$G$4:$G$33,1)+1)/COUNTA('Raw Data'!$A$4:$A$33)*100,1))</f>
        <v/>
      </c>
      <c r="E18" s="22">
        <f>IF('Raw Data'!A11="","",ROUND(RANK.EQ('Raw Data'!H11,'Raw Data'!$H$4:$H$33,1)/COUNTA('Raw Data'!$A$4:$A$33)*100,1))</f>
        <v/>
      </c>
      <c r="F18" s="22">
        <f>IF('Raw Data'!A11="","",ROUND((COUNTA('Raw Data'!$A$4:$A$33)-RANK.EQ('Raw Data'!J11,'Raw Data'!$J$4:$J$33,1)+1)/COUNTA('Raw Data'!$A$4:$A$33)*100,1))</f>
        <v/>
      </c>
      <c r="G18" s="22">
        <f>IF('Raw Data'!A11="","",ROUND(RANK.EQ('Raw Data'!K11,'Raw Data'!$K$4:$K$33,1)/COUNTA('Raw Data'!$A$4:$A$33)*100,1))</f>
        <v/>
      </c>
      <c r="H18" s="23">
        <f>IF(C18="","",ROUND(C18*0.35+D18*0.25+E18*0.20+F18*0.10+G18*0.10,1))</f>
        <v/>
      </c>
      <c r="I18" s="22">
        <f>IF(H18="","",RANK.EQ(H18,$H$11:$H$40,0))</f>
        <v/>
      </c>
      <c r="J18" s="22">
        <f>IF(H18="","",IF(H18&gt;=80,"★★★ Strong Buy",IF(H18&gt;=65,"★★ Buy",IF(H18&gt;=50,"★ Hold","✗ Pass"))))</f>
        <v/>
      </c>
    </row>
    <row r="19" ht="17" customHeight="1">
      <c r="A19" s="18">
        <f>'Raw Data'!A12</f>
        <v/>
      </c>
      <c r="B19" s="19">
        <f>'Raw Data'!B12</f>
        <v/>
      </c>
      <c r="C19" s="19">
        <f>IF('Raw Data'!A12="","",ROUND((RANK.EQ('Raw Data'!F12,'Raw Data'!$F$4:$F$33,1)/COUNTA('Raw Data'!$A$4:$A$33)*100)*0.6+(RANK.EQ('Raw Data'!E12,'Raw Data'!$E$4:$E$33,1)/COUNTA('Raw Data'!$A$4:$A$33)*100)*0.4,1))</f>
        <v/>
      </c>
      <c r="D19" s="19">
        <f>IF('Raw Data'!A12="","",ROUND((COUNTA('Raw Data'!$A$4:$A$33)-RANK.EQ('Raw Data'!G12,'Raw Data'!$G$4:$G$33,1)+1)/COUNTA('Raw Data'!$A$4:$A$33)*100,1))</f>
        <v/>
      </c>
      <c r="E19" s="19">
        <f>IF('Raw Data'!A12="","",ROUND(RANK.EQ('Raw Data'!H12,'Raw Data'!$H$4:$H$33,1)/COUNTA('Raw Data'!$A$4:$A$33)*100,1))</f>
        <v/>
      </c>
      <c r="F19" s="19">
        <f>IF('Raw Data'!A12="","",ROUND((COUNTA('Raw Data'!$A$4:$A$33)-RANK.EQ('Raw Data'!J12,'Raw Data'!$J$4:$J$33,1)+1)/COUNTA('Raw Data'!$A$4:$A$33)*100,1))</f>
        <v/>
      </c>
      <c r="G19" s="19">
        <f>IF('Raw Data'!A12="","",ROUND(RANK.EQ('Raw Data'!K12,'Raw Data'!$K$4:$K$33,1)/COUNTA('Raw Data'!$A$4:$A$33)*100,1))</f>
        <v/>
      </c>
      <c r="H19" s="20">
        <f>IF(C19="","",ROUND(C19*0.35+D19*0.25+E19*0.20+F19*0.10+G19*0.10,1))</f>
        <v/>
      </c>
      <c r="I19" s="19">
        <f>IF(H19="","",RANK.EQ(H19,$H$11:$H$40,0))</f>
        <v/>
      </c>
      <c r="J19" s="19">
        <f>IF(H19="","",IF(H19&gt;=80,"★★★ Strong Buy",IF(H19&gt;=65,"★★ Buy",IF(H19&gt;=50,"★ Hold","✗ Pass"))))</f>
        <v/>
      </c>
    </row>
    <row r="20" ht="17" customHeight="1">
      <c r="A20" s="21">
        <f>'Raw Data'!A13</f>
        <v/>
      </c>
      <c r="B20" s="22">
        <f>'Raw Data'!B13</f>
        <v/>
      </c>
      <c r="C20" s="22">
        <f>IF('Raw Data'!A13="","",ROUND((RANK.EQ('Raw Data'!F13,'Raw Data'!$F$4:$F$33,1)/COUNTA('Raw Data'!$A$4:$A$33)*100)*0.6+(RANK.EQ('Raw Data'!E13,'Raw Data'!$E$4:$E$33,1)/COUNTA('Raw Data'!$A$4:$A$33)*100)*0.4,1))</f>
        <v/>
      </c>
      <c r="D20" s="22">
        <f>IF('Raw Data'!A13="","",ROUND((COUNTA('Raw Data'!$A$4:$A$33)-RANK.EQ('Raw Data'!G13,'Raw Data'!$G$4:$G$33,1)+1)/COUNTA('Raw Data'!$A$4:$A$33)*100,1))</f>
        <v/>
      </c>
      <c r="E20" s="22">
        <f>IF('Raw Data'!A13="","",ROUND(RANK.EQ('Raw Data'!H13,'Raw Data'!$H$4:$H$33,1)/COUNTA('Raw Data'!$A$4:$A$33)*100,1))</f>
        <v/>
      </c>
      <c r="F20" s="22">
        <f>IF('Raw Data'!A13="","",ROUND((COUNTA('Raw Data'!$A$4:$A$33)-RANK.EQ('Raw Data'!J13,'Raw Data'!$J$4:$J$33,1)+1)/COUNTA('Raw Data'!$A$4:$A$33)*100,1))</f>
        <v/>
      </c>
      <c r="G20" s="22">
        <f>IF('Raw Data'!A13="","",ROUND(RANK.EQ('Raw Data'!K13,'Raw Data'!$K$4:$K$33,1)/COUNTA('Raw Data'!$A$4:$A$33)*100,1))</f>
        <v/>
      </c>
      <c r="H20" s="23">
        <f>IF(C20="","",ROUND(C20*0.35+D20*0.25+E20*0.20+F20*0.10+G20*0.10,1))</f>
        <v/>
      </c>
      <c r="I20" s="22">
        <f>IF(H20="","",RANK.EQ(H20,$H$11:$H$40,0))</f>
        <v/>
      </c>
      <c r="J20" s="22">
        <f>IF(H20="","",IF(H20&gt;=80,"★★★ Strong Buy",IF(H20&gt;=65,"★★ Buy",IF(H20&gt;=50,"★ Hold","✗ Pass"))))</f>
        <v/>
      </c>
    </row>
    <row r="21" ht="17" customHeight="1">
      <c r="A21" s="18">
        <f>'Raw Data'!A14</f>
        <v/>
      </c>
      <c r="B21" s="19">
        <f>'Raw Data'!B14</f>
        <v/>
      </c>
      <c r="C21" s="19">
        <f>IF('Raw Data'!A14="","",ROUND((RANK.EQ('Raw Data'!F14,'Raw Data'!$F$4:$F$33,1)/COUNTA('Raw Data'!$A$4:$A$33)*100)*0.6+(RANK.EQ('Raw Data'!E14,'Raw Data'!$E$4:$E$33,1)/COUNTA('Raw Data'!$A$4:$A$33)*100)*0.4,1))</f>
        <v/>
      </c>
      <c r="D21" s="19">
        <f>IF('Raw Data'!A14="","",ROUND((COUNTA('Raw Data'!$A$4:$A$33)-RANK.EQ('Raw Data'!G14,'Raw Data'!$G$4:$G$33,1)+1)/COUNTA('Raw Data'!$A$4:$A$33)*100,1))</f>
        <v/>
      </c>
      <c r="E21" s="19">
        <f>IF('Raw Data'!A14="","",ROUND(RANK.EQ('Raw Data'!H14,'Raw Data'!$H$4:$H$33,1)/COUNTA('Raw Data'!$A$4:$A$33)*100,1))</f>
        <v/>
      </c>
      <c r="F21" s="19">
        <f>IF('Raw Data'!A14="","",ROUND((COUNTA('Raw Data'!$A$4:$A$33)-RANK.EQ('Raw Data'!J14,'Raw Data'!$J$4:$J$33,1)+1)/COUNTA('Raw Data'!$A$4:$A$33)*100,1))</f>
        <v/>
      </c>
      <c r="G21" s="19">
        <f>IF('Raw Data'!A14="","",ROUND(RANK.EQ('Raw Data'!K14,'Raw Data'!$K$4:$K$33,1)/COUNTA('Raw Data'!$A$4:$A$33)*100,1))</f>
        <v/>
      </c>
      <c r="H21" s="20">
        <f>IF(C21="","",ROUND(C21*0.35+D21*0.25+E21*0.20+F21*0.10+G21*0.10,1))</f>
        <v/>
      </c>
      <c r="I21" s="19">
        <f>IF(H21="","",RANK.EQ(H21,$H$11:$H$40,0))</f>
        <v/>
      </c>
      <c r="J21" s="19">
        <f>IF(H21="","",IF(H21&gt;=80,"★★★ Strong Buy",IF(H21&gt;=65,"★★ Buy",IF(H21&gt;=50,"★ Hold","✗ Pass"))))</f>
        <v/>
      </c>
    </row>
    <row r="22" ht="17" customHeight="1">
      <c r="A22" s="21">
        <f>'Raw Data'!A15</f>
        <v/>
      </c>
      <c r="B22" s="22">
        <f>'Raw Data'!B15</f>
        <v/>
      </c>
      <c r="C22" s="22">
        <f>IF('Raw Data'!A15="","",ROUND((RANK.EQ('Raw Data'!F15,'Raw Data'!$F$4:$F$33,1)/COUNTA('Raw Data'!$A$4:$A$33)*100)*0.6+(RANK.EQ('Raw Data'!E15,'Raw Data'!$E$4:$E$33,1)/COUNTA('Raw Data'!$A$4:$A$33)*100)*0.4,1))</f>
        <v/>
      </c>
      <c r="D22" s="22">
        <f>IF('Raw Data'!A15="","",ROUND((COUNTA('Raw Data'!$A$4:$A$33)-RANK.EQ('Raw Data'!G15,'Raw Data'!$G$4:$G$33,1)+1)/COUNTA('Raw Data'!$A$4:$A$33)*100,1))</f>
        <v/>
      </c>
      <c r="E22" s="22">
        <f>IF('Raw Data'!A15="","",ROUND(RANK.EQ('Raw Data'!H15,'Raw Data'!$H$4:$H$33,1)/COUNTA('Raw Data'!$A$4:$A$33)*100,1))</f>
        <v/>
      </c>
      <c r="F22" s="22">
        <f>IF('Raw Data'!A15="","",ROUND((COUNTA('Raw Data'!$A$4:$A$33)-RANK.EQ('Raw Data'!J15,'Raw Data'!$J$4:$J$33,1)+1)/COUNTA('Raw Data'!$A$4:$A$33)*100,1))</f>
        <v/>
      </c>
      <c r="G22" s="22">
        <f>IF('Raw Data'!A15="","",ROUND(RANK.EQ('Raw Data'!K15,'Raw Data'!$K$4:$K$33,1)/COUNTA('Raw Data'!$A$4:$A$33)*100,1))</f>
        <v/>
      </c>
      <c r="H22" s="23">
        <f>IF(C22="","",ROUND(C22*0.35+D22*0.25+E22*0.20+F22*0.10+G22*0.10,1))</f>
        <v/>
      </c>
      <c r="I22" s="22">
        <f>IF(H22="","",RANK.EQ(H22,$H$11:$H$40,0))</f>
        <v/>
      </c>
      <c r="J22" s="22">
        <f>IF(H22="","",IF(H22&gt;=80,"★★★ Strong Buy",IF(H22&gt;=65,"★★ Buy",IF(H22&gt;=50,"★ Hold","✗ Pass"))))</f>
        <v/>
      </c>
    </row>
    <row r="23" ht="17" customHeight="1">
      <c r="A23" s="18">
        <f>'Raw Data'!A16</f>
        <v/>
      </c>
      <c r="B23" s="19">
        <f>'Raw Data'!B16</f>
        <v/>
      </c>
      <c r="C23" s="19">
        <f>IF('Raw Data'!A16="","",ROUND((RANK.EQ('Raw Data'!F16,'Raw Data'!$F$4:$F$33,1)/COUNTA('Raw Data'!$A$4:$A$33)*100)*0.6+(RANK.EQ('Raw Data'!E16,'Raw Data'!$E$4:$E$33,1)/COUNTA('Raw Data'!$A$4:$A$33)*100)*0.4,1))</f>
        <v/>
      </c>
      <c r="D23" s="19">
        <f>IF('Raw Data'!A16="","",ROUND((COUNTA('Raw Data'!$A$4:$A$33)-RANK.EQ('Raw Data'!G16,'Raw Data'!$G$4:$G$33,1)+1)/COUNTA('Raw Data'!$A$4:$A$33)*100,1))</f>
        <v/>
      </c>
      <c r="E23" s="19">
        <f>IF('Raw Data'!A16="","",ROUND(RANK.EQ('Raw Data'!H16,'Raw Data'!$H$4:$H$33,1)/COUNTA('Raw Data'!$A$4:$A$33)*100,1))</f>
        <v/>
      </c>
      <c r="F23" s="19">
        <f>IF('Raw Data'!A16="","",ROUND((COUNTA('Raw Data'!$A$4:$A$33)-RANK.EQ('Raw Data'!J16,'Raw Data'!$J$4:$J$33,1)+1)/COUNTA('Raw Data'!$A$4:$A$33)*100,1))</f>
        <v/>
      </c>
      <c r="G23" s="19">
        <f>IF('Raw Data'!A16="","",ROUND(RANK.EQ('Raw Data'!K16,'Raw Data'!$K$4:$K$33,1)/COUNTA('Raw Data'!$A$4:$A$33)*100,1))</f>
        <v/>
      </c>
      <c r="H23" s="20">
        <f>IF(C23="","",ROUND(C23*0.35+D23*0.25+E23*0.20+F23*0.10+G23*0.10,1))</f>
        <v/>
      </c>
      <c r="I23" s="19">
        <f>IF(H23="","",RANK.EQ(H23,$H$11:$H$40,0))</f>
        <v/>
      </c>
      <c r="J23" s="19">
        <f>IF(H23="","",IF(H23&gt;=80,"★★★ Strong Buy",IF(H23&gt;=65,"★★ Buy",IF(H23&gt;=50,"★ Hold","✗ Pass"))))</f>
        <v/>
      </c>
    </row>
    <row r="24" ht="17" customHeight="1">
      <c r="A24" s="21">
        <f>'Raw Data'!A17</f>
        <v/>
      </c>
      <c r="B24" s="22">
        <f>'Raw Data'!B17</f>
        <v/>
      </c>
      <c r="C24" s="22">
        <f>IF('Raw Data'!A17="","",ROUND((RANK.EQ('Raw Data'!F17,'Raw Data'!$F$4:$F$33,1)/COUNTA('Raw Data'!$A$4:$A$33)*100)*0.6+(RANK.EQ('Raw Data'!E17,'Raw Data'!$E$4:$E$33,1)/COUNTA('Raw Data'!$A$4:$A$33)*100)*0.4,1))</f>
        <v/>
      </c>
      <c r="D24" s="22">
        <f>IF('Raw Data'!A17="","",ROUND((COUNTA('Raw Data'!$A$4:$A$33)-RANK.EQ('Raw Data'!G17,'Raw Data'!$G$4:$G$33,1)+1)/COUNTA('Raw Data'!$A$4:$A$33)*100,1))</f>
        <v/>
      </c>
      <c r="E24" s="22">
        <f>IF('Raw Data'!A17="","",ROUND(RANK.EQ('Raw Data'!H17,'Raw Data'!$H$4:$H$33,1)/COUNTA('Raw Data'!$A$4:$A$33)*100,1))</f>
        <v/>
      </c>
      <c r="F24" s="22">
        <f>IF('Raw Data'!A17="","",ROUND((COUNTA('Raw Data'!$A$4:$A$33)-RANK.EQ('Raw Data'!J17,'Raw Data'!$J$4:$J$33,1)+1)/COUNTA('Raw Data'!$A$4:$A$33)*100,1))</f>
        <v/>
      </c>
      <c r="G24" s="22">
        <f>IF('Raw Data'!A17="","",ROUND(RANK.EQ('Raw Data'!K17,'Raw Data'!$K$4:$K$33,1)/COUNTA('Raw Data'!$A$4:$A$33)*100,1))</f>
        <v/>
      </c>
      <c r="H24" s="23">
        <f>IF(C24="","",ROUND(C24*0.35+D24*0.25+E24*0.20+F24*0.10+G24*0.10,1))</f>
        <v/>
      </c>
      <c r="I24" s="22">
        <f>IF(H24="","",RANK.EQ(H24,$H$11:$H$40,0))</f>
        <v/>
      </c>
      <c r="J24" s="22">
        <f>IF(H24="","",IF(H24&gt;=80,"★★★ Strong Buy",IF(H24&gt;=65,"★★ Buy",IF(H24&gt;=50,"★ Hold","✗ Pass"))))</f>
        <v/>
      </c>
    </row>
    <row r="25" ht="17" customHeight="1">
      <c r="A25" s="18">
        <f>'Raw Data'!A18</f>
        <v/>
      </c>
      <c r="B25" s="19">
        <f>'Raw Data'!B18</f>
        <v/>
      </c>
      <c r="C25" s="19">
        <f>IF('Raw Data'!A18="","",ROUND((RANK.EQ('Raw Data'!F18,'Raw Data'!$F$4:$F$33,1)/COUNTA('Raw Data'!$A$4:$A$33)*100)*0.6+(RANK.EQ('Raw Data'!E18,'Raw Data'!$E$4:$E$33,1)/COUNTA('Raw Data'!$A$4:$A$33)*100)*0.4,1))</f>
        <v/>
      </c>
      <c r="D25" s="19">
        <f>IF('Raw Data'!A18="","",ROUND((COUNTA('Raw Data'!$A$4:$A$33)-RANK.EQ('Raw Data'!G18,'Raw Data'!$G$4:$G$33,1)+1)/COUNTA('Raw Data'!$A$4:$A$33)*100,1))</f>
        <v/>
      </c>
      <c r="E25" s="19">
        <f>IF('Raw Data'!A18="","",ROUND(RANK.EQ('Raw Data'!H18,'Raw Data'!$H$4:$H$33,1)/COUNTA('Raw Data'!$A$4:$A$33)*100,1))</f>
        <v/>
      </c>
      <c r="F25" s="19">
        <f>IF('Raw Data'!A18="","",ROUND((COUNTA('Raw Data'!$A$4:$A$33)-RANK.EQ('Raw Data'!J18,'Raw Data'!$J$4:$J$33,1)+1)/COUNTA('Raw Data'!$A$4:$A$33)*100,1))</f>
        <v/>
      </c>
      <c r="G25" s="19">
        <f>IF('Raw Data'!A18="","",ROUND(RANK.EQ('Raw Data'!K18,'Raw Data'!$K$4:$K$33,1)/COUNTA('Raw Data'!$A$4:$A$33)*100,1))</f>
        <v/>
      </c>
      <c r="H25" s="20">
        <f>IF(C25="","",ROUND(C25*0.35+D25*0.25+E25*0.20+F25*0.10+G25*0.10,1))</f>
        <v/>
      </c>
      <c r="I25" s="19">
        <f>IF(H25="","",RANK.EQ(H25,$H$11:$H$40,0))</f>
        <v/>
      </c>
      <c r="J25" s="19">
        <f>IF(H25="","",IF(H25&gt;=80,"★★★ Strong Buy",IF(H25&gt;=65,"★★ Buy",IF(H25&gt;=50,"★ Hold","✗ Pass"))))</f>
        <v/>
      </c>
    </row>
    <row r="26" ht="17" customHeight="1">
      <c r="A26" s="21">
        <f>'Raw Data'!A19</f>
        <v/>
      </c>
      <c r="B26" s="22">
        <f>'Raw Data'!B19</f>
        <v/>
      </c>
      <c r="C26" s="22">
        <f>IF('Raw Data'!A19="","",ROUND((RANK.EQ('Raw Data'!F19,'Raw Data'!$F$4:$F$33,1)/COUNTA('Raw Data'!$A$4:$A$33)*100)*0.6+(RANK.EQ('Raw Data'!E19,'Raw Data'!$E$4:$E$33,1)/COUNTA('Raw Data'!$A$4:$A$33)*100)*0.4,1))</f>
        <v/>
      </c>
      <c r="D26" s="22">
        <f>IF('Raw Data'!A19="","",ROUND((COUNTA('Raw Data'!$A$4:$A$33)-RANK.EQ('Raw Data'!G19,'Raw Data'!$G$4:$G$33,1)+1)/COUNTA('Raw Data'!$A$4:$A$33)*100,1))</f>
        <v/>
      </c>
      <c r="E26" s="22">
        <f>IF('Raw Data'!A19="","",ROUND(RANK.EQ('Raw Data'!H19,'Raw Data'!$H$4:$H$33,1)/COUNTA('Raw Data'!$A$4:$A$33)*100,1))</f>
        <v/>
      </c>
      <c r="F26" s="22">
        <f>IF('Raw Data'!A19="","",ROUND((COUNTA('Raw Data'!$A$4:$A$33)-RANK.EQ('Raw Data'!J19,'Raw Data'!$J$4:$J$33,1)+1)/COUNTA('Raw Data'!$A$4:$A$33)*100,1))</f>
        <v/>
      </c>
      <c r="G26" s="22">
        <f>IF('Raw Data'!A19="","",ROUND(RANK.EQ('Raw Data'!K19,'Raw Data'!$K$4:$K$33,1)/COUNTA('Raw Data'!$A$4:$A$33)*100,1))</f>
        <v/>
      </c>
      <c r="H26" s="23">
        <f>IF(C26="","",ROUND(C26*0.35+D26*0.25+E26*0.20+F26*0.10+G26*0.10,1))</f>
        <v/>
      </c>
      <c r="I26" s="22">
        <f>IF(H26="","",RANK.EQ(H26,$H$11:$H$40,0))</f>
        <v/>
      </c>
      <c r="J26" s="22">
        <f>IF(H26="","",IF(H26&gt;=80,"★★★ Strong Buy",IF(H26&gt;=65,"★★ Buy",IF(H26&gt;=50,"★ Hold","✗ Pass"))))</f>
        <v/>
      </c>
    </row>
    <row r="27" ht="17" customHeight="1">
      <c r="A27" s="18">
        <f>'Raw Data'!A20</f>
        <v/>
      </c>
      <c r="B27" s="19">
        <f>'Raw Data'!B20</f>
        <v/>
      </c>
      <c r="C27" s="19">
        <f>IF('Raw Data'!A20="","",ROUND((RANK.EQ('Raw Data'!F20,'Raw Data'!$F$4:$F$33,1)/COUNTA('Raw Data'!$A$4:$A$33)*100)*0.6+(RANK.EQ('Raw Data'!E20,'Raw Data'!$E$4:$E$33,1)/COUNTA('Raw Data'!$A$4:$A$33)*100)*0.4,1))</f>
        <v/>
      </c>
      <c r="D27" s="19">
        <f>IF('Raw Data'!A20="","",ROUND((COUNTA('Raw Data'!$A$4:$A$33)-RANK.EQ('Raw Data'!G20,'Raw Data'!$G$4:$G$33,1)+1)/COUNTA('Raw Data'!$A$4:$A$33)*100,1))</f>
        <v/>
      </c>
      <c r="E27" s="19">
        <f>IF('Raw Data'!A20="","",ROUND(RANK.EQ('Raw Data'!H20,'Raw Data'!$H$4:$H$33,1)/COUNTA('Raw Data'!$A$4:$A$33)*100,1))</f>
        <v/>
      </c>
      <c r="F27" s="19">
        <f>IF('Raw Data'!A20="","",ROUND((COUNTA('Raw Data'!$A$4:$A$33)-RANK.EQ('Raw Data'!J20,'Raw Data'!$J$4:$J$33,1)+1)/COUNTA('Raw Data'!$A$4:$A$33)*100,1))</f>
        <v/>
      </c>
      <c r="G27" s="19">
        <f>IF('Raw Data'!A20="","",ROUND(RANK.EQ('Raw Data'!K20,'Raw Data'!$K$4:$K$33,1)/COUNTA('Raw Data'!$A$4:$A$33)*100,1))</f>
        <v/>
      </c>
      <c r="H27" s="20">
        <f>IF(C27="","",ROUND(C27*0.35+D27*0.25+E27*0.20+F27*0.10+G27*0.10,1))</f>
        <v/>
      </c>
      <c r="I27" s="19">
        <f>IF(H27="","",RANK.EQ(H27,$H$11:$H$40,0))</f>
        <v/>
      </c>
      <c r="J27" s="19">
        <f>IF(H27="","",IF(H27&gt;=80,"★★★ Strong Buy",IF(H27&gt;=65,"★★ Buy",IF(H27&gt;=50,"★ Hold","✗ Pass"))))</f>
        <v/>
      </c>
    </row>
    <row r="28" ht="17" customHeight="1">
      <c r="A28" s="21">
        <f>'Raw Data'!A21</f>
        <v/>
      </c>
      <c r="B28" s="22">
        <f>'Raw Data'!B21</f>
        <v/>
      </c>
      <c r="C28" s="22">
        <f>IF('Raw Data'!A21="","",ROUND((RANK.EQ('Raw Data'!F21,'Raw Data'!$F$4:$F$33,1)/COUNTA('Raw Data'!$A$4:$A$33)*100)*0.6+(RANK.EQ('Raw Data'!E21,'Raw Data'!$E$4:$E$33,1)/COUNTA('Raw Data'!$A$4:$A$33)*100)*0.4,1))</f>
        <v/>
      </c>
      <c r="D28" s="22">
        <f>IF('Raw Data'!A21="","",ROUND((COUNTA('Raw Data'!$A$4:$A$33)-RANK.EQ('Raw Data'!G21,'Raw Data'!$G$4:$G$33,1)+1)/COUNTA('Raw Data'!$A$4:$A$33)*100,1))</f>
        <v/>
      </c>
      <c r="E28" s="22">
        <f>IF('Raw Data'!A21="","",ROUND(RANK.EQ('Raw Data'!H21,'Raw Data'!$H$4:$H$33,1)/COUNTA('Raw Data'!$A$4:$A$33)*100,1))</f>
        <v/>
      </c>
      <c r="F28" s="22">
        <f>IF('Raw Data'!A21="","",ROUND((COUNTA('Raw Data'!$A$4:$A$33)-RANK.EQ('Raw Data'!J21,'Raw Data'!$J$4:$J$33,1)+1)/COUNTA('Raw Data'!$A$4:$A$33)*100,1))</f>
        <v/>
      </c>
      <c r="G28" s="22">
        <f>IF('Raw Data'!A21="","",ROUND(RANK.EQ('Raw Data'!K21,'Raw Data'!$K$4:$K$33,1)/COUNTA('Raw Data'!$A$4:$A$33)*100,1))</f>
        <v/>
      </c>
      <c r="H28" s="23">
        <f>IF(C28="","",ROUND(C28*0.35+D28*0.25+E28*0.20+F28*0.10+G28*0.10,1))</f>
        <v/>
      </c>
      <c r="I28" s="22">
        <f>IF(H28="","",RANK.EQ(H28,$H$11:$H$40,0))</f>
        <v/>
      </c>
      <c r="J28" s="22">
        <f>IF(H28="","",IF(H28&gt;=80,"★★★ Strong Buy",IF(H28&gt;=65,"★★ Buy",IF(H28&gt;=50,"★ Hold","✗ Pass"))))</f>
        <v/>
      </c>
    </row>
    <row r="29" ht="17" customHeight="1">
      <c r="A29" s="18">
        <f>'Raw Data'!A22</f>
        <v/>
      </c>
      <c r="B29" s="19">
        <f>'Raw Data'!B22</f>
        <v/>
      </c>
      <c r="C29" s="19">
        <f>IF('Raw Data'!A22="","",ROUND((RANK.EQ('Raw Data'!F22,'Raw Data'!$F$4:$F$33,1)/COUNTA('Raw Data'!$A$4:$A$33)*100)*0.6+(RANK.EQ('Raw Data'!E22,'Raw Data'!$E$4:$E$33,1)/COUNTA('Raw Data'!$A$4:$A$33)*100)*0.4,1))</f>
        <v/>
      </c>
      <c r="D29" s="19">
        <f>IF('Raw Data'!A22="","",ROUND((COUNTA('Raw Data'!$A$4:$A$33)-RANK.EQ('Raw Data'!G22,'Raw Data'!$G$4:$G$33,1)+1)/COUNTA('Raw Data'!$A$4:$A$33)*100,1))</f>
        <v/>
      </c>
      <c r="E29" s="19">
        <f>IF('Raw Data'!A22="","",ROUND(RANK.EQ('Raw Data'!H22,'Raw Data'!$H$4:$H$33,1)/COUNTA('Raw Data'!$A$4:$A$33)*100,1))</f>
        <v/>
      </c>
      <c r="F29" s="19">
        <f>IF('Raw Data'!A22="","",ROUND((COUNTA('Raw Data'!$A$4:$A$33)-RANK.EQ('Raw Data'!J22,'Raw Data'!$J$4:$J$33,1)+1)/COUNTA('Raw Data'!$A$4:$A$33)*100,1))</f>
        <v/>
      </c>
      <c r="G29" s="19">
        <f>IF('Raw Data'!A22="","",ROUND(RANK.EQ('Raw Data'!K22,'Raw Data'!$K$4:$K$33,1)/COUNTA('Raw Data'!$A$4:$A$33)*100,1))</f>
        <v/>
      </c>
      <c r="H29" s="20">
        <f>IF(C29="","",ROUND(C29*0.35+D29*0.25+E29*0.20+F29*0.10+G29*0.10,1))</f>
        <v/>
      </c>
      <c r="I29" s="19">
        <f>IF(H29="","",RANK.EQ(H29,$H$11:$H$40,0))</f>
        <v/>
      </c>
      <c r="J29" s="19">
        <f>IF(H29="","",IF(H29&gt;=80,"★★★ Strong Buy",IF(H29&gt;=65,"★★ Buy",IF(H29&gt;=50,"★ Hold","✗ Pass"))))</f>
        <v/>
      </c>
    </row>
    <row r="30" ht="17" customHeight="1">
      <c r="A30" s="21">
        <f>'Raw Data'!A23</f>
        <v/>
      </c>
      <c r="B30" s="22">
        <f>'Raw Data'!B23</f>
        <v/>
      </c>
      <c r="C30" s="22">
        <f>IF('Raw Data'!A23="","",ROUND((RANK.EQ('Raw Data'!F23,'Raw Data'!$F$4:$F$33,1)/COUNTA('Raw Data'!$A$4:$A$33)*100)*0.6+(RANK.EQ('Raw Data'!E23,'Raw Data'!$E$4:$E$33,1)/COUNTA('Raw Data'!$A$4:$A$33)*100)*0.4,1))</f>
        <v/>
      </c>
      <c r="D30" s="22">
        <f>IF('Raw Data'!A23="","",ROUND((COUNTA('Raw Data'!$A$4:$A$33)-RANK.EQ('Raw Data'!G23,'Raw Data'!$G$4:$G$33,1)+1)/COUNTA('Raw Data'!$A$4:$A$33)*100,1))</f>
        <v/>
      </c>
      <c r="E30" s="22">
        <f>IF('Raw Data'!A23="","",ROUND(RANK.EQ('Raw Data'!H23,'Raw Data'!$H$4:$H$33,1)/COUNTA('Raw Data'!$A$4:$A$33)*100,1))</f>
        <v/>
      </c>
      <c r="F30" s="22">
        <f>IF('Raw Data'!A23="","",ROUND((COUNTA('Raw Data'!$A$4:$A$33)-RANK.EQ('Raw Data'!J23,'Raw Data'!$J$4:$J$33,1)+1)/COUNTA('Raw Data'!$A$4:$A$33)*100,1))</f>
        <v/>
      </c>
      <c r="G30" s="22">
        <f>IF('Raw Data'!A23="","",ROUND(RANK.EQ('Raw Data'!K23,'Raw Data'!$K$4:$K$33,1)/COUNTA('Raw Data'!$A$4:$A$33)*100,1))</f>
        <v/>
      </c>
      <c r="H30" s="23">
        <f>IF(C30="","",ROUND(C30*0.35+D30*0.25+E30*0.20+F30*0.10+G30*0.10,1))</f>
        <v/>
      </c>
      <c r="I30" s="22">
        <f>IF(H30="","",RANK.EQ(H30,$H$11:$H$40,0))</f>
        <v/>
      </c>
      <c r="J30" s="22">
        <f>IF(H30="","",IF(H30&gt;=80,"★★★ Strong Buy",IF(H30&gt;=65,"★★ Buy",IF(H30&gt;=50,"★ Hold","✗ Pass"))))</f>
        <v/>
      </c>
    </row>
    <row r="31" ht="17" customHeight="1">
      <c r="A31" s="18">
        <f>'Raw Data'!A24</f>
        <v/>
      </c>
      <c r="B31" s="19">
        <f>'Raw Data'!B24</f>
        <v/>
      </c>
      <c r="C31" s="19">
        <f>IF('Raw Data'!A24="","",ROUND((RANK.EQ('Raw Data'!F24,'Raw Data'!$F$4:$F$33,1)/COUNTA('Raw Data'!$A$4:$A$33)*100)*0.6+(RANK.EQ('Raw Data'!E24,'Raw Data'!$E$4:$E$33,1)/COUNTA('Raw Data'!$A$4:$A$33)*100)*0.4,1))</f>
        <v/>
      </c>
      <c r="D31" s="19">
        <f>IF('Raw Data'!A24="","",ROUND((COUNTA('Raw Data'!$A$4:$A$33)-RANK.EQ('Raw Data'!G24,'Raw Data'!$G$4:$G$33,1)+1)/COUNTA('Raw Data'!$A$4:$A$33)*100,1))</f>
        <v/>
      </c>
      <c r="E31" s="19">
        <f>IF('Raw Data'!A24="","",ROUND(RANK.EQ('Raw Data'!H24,'Raw Data'!$H$4:$H$33,1)/COUNTA('Raw Data'!$A$4:$A$33)*100,1))</f>
        <v/>
      </c>
      <c r="F31" s="19">
        <f>IF('Raw Data'!A24="","",ROUND((COUNTA('Raw Data'!$A$4:$A$33)-RANK.EQ('Raw Data'!J24,'Raw Data'!$J$4:$J$33,1)+1)/COUNTA('Raw Data'!$A$4:$A$33)*100,1))</f>
        <v/>
      </c>
      <c r="G31" s="19">
        <f>IF('Raw Data'!A24="","",ROUND(RANK.EQ('Raw Data'!K24,'Raw Data'!$K$4:$K$33,1)/COUNTA('Raw Data'!$A$4:$A$33)*100,1))</f>
        <v/>
      </c>
      <c r="H31" s="20">
        <f>IF(C31="","",ROUND(C31*0.35+D31*0.25+E31*0.20+F31*0.10+G31*0.10,1))</f>
        <v/>
      </c>
      <c r="I31" s="19">
        <f>IF(H31="","",RANK.EQ(H31,$H$11:$H$40,0))</f>
        <v/>
      </c>
      <c r="J31" s="19">
        <f>IF(H31="","",IF(H31&gt;=80,"★★★ Strong Buy",IF(H31&gt;=65,"★★ Buy",IF(H31&gt;=50,"★ Hold","✗ Pass"))))</f>
        <v/>
      </c>
    </row>
    <row r="32" ht="17" customHeight="1">
      <c r="A32" s="21">
        <f>'Raw Data'!A25</f>
        <v/>
      </c>
      <c r="B32" s="22">
        <f>'Raw Data'!B25</f>
        <v/>
      </c>
      <c r="C32" s="22">
        <f>IF('Raw Data'!A25="","",ROUND((RANK.EQ('Raw Data'!F25,'Raw Data'!$F$4:$F$33,1)/COUNTA('Raw Data'!$A$4:$A$33)*100)*0.6+(RANK.EQ('Raw Data'!E25,'Raw Data'!$E$4:$E$33,1)/COUNTA('Raw Data'!$A$4:$A$33)*100)*0.4,1))</f>
        <v/>
      </c>
      <c r="D32" s="22">
        <f>IF('Raw Data'!A25="","",ROUND((COUNTA('Raw Data'!$A$4:$A$33)-RANK.EQ('Raw Data'!G25,'Raw Data'!$G$4:$G$33,1)+1)/COUNTA('Raw Data'!$A$4:$A$33)*100,1))</f>
        <v/>
      </c>
      <c r="E32" s="22">
        <f>IF('Raw Data'!A25="","",ROUND(RANK.EQ('Raw Data'!H25,'Raw Data'!$H$4:$H$33,1)/COUNTA('Raw Data'!$A$4:$A$33)*100,1))</f>
        <v/>
      </c>
      <c r="F32" s="22">
        <f>IF('Raw Data'!A25="","",ROUND((COUNTA('Raw Data'!$A$4:$A$33)-RANK.EQ('Raw Data'!J25,'Raw Data'!$J$4:$J$33,1)+1)/COUNTA('Raw Data'!$A$4:$A$33)*100,1))</f>
        <v/>
      </c>
      <c r="G32" s="22">
        <f>IF('Raw Data'!A25="","",ROUND(RANK.EQ('Raw Data'!K25,'Raw Data'!$K$4:$K$33,1)/COUNTA('Raw Data'!$A$4:$A$33)*100,1))</f>
        <v/>
      </c>
      <c r="H32" s="23">
        <f>IF(C32="","",ROUND(C32*0.35+D32*0.25+E32*0.20+F32*0.10+G32*0.10,1))</f>
        <v/>
      </c>
      <c r="I32" s="22">
        <f>IF(H32="","",RANK.EQ(H32,$H$11:$H$40,0))</f>
        <v/>
      </c>
      <c r="J32" s="22">
        <f>IF(H32="","",IF(H32&gt;=80,"★★★ Strong Buy",IF(H32&gt;=65,"★★ Buy",IF(H32&gt;=50,"★ Hold","✗ Pass"))))</f>
        <v/>
      </c>
    </row>
    <row r="33" ht="17" customHeight="1">
      <c r="A33" s="18">
        <f>'Raw Data'!A26</f>
        <v/>
      </c>
      <c r="B33" s="19">
        <f>'Raw Data'!B26</f>
        <v/>
      </c>
      <c r="C33" s="19">
        <f>IF('Raw Data'!A26="","",ROUND((RANK.EQ('Raw Data'!F26,'Raw Data'!$F$4:$F$33,1)/COUNTA('Raw Data'!$A$4:$A$33)*100)*0.6+(RANK.EQ('Raw Data'!E26,'Raw Data'!$E$4:$E$33,1)/COUNTA('Raw Data'!$A$4:$A$33)*100)*0.4,1))</f>
        <v/>
      </c>
      <c r="D33" s="19">
        <f>IF('Raw Data'!A26="","",ROUND((COUNTA('Raw Data'!$A$4:$A$33)-RANK.EQ('Raw Data'!G26,'Raw Data'!$G$4:$G$33,1)+1)/COUNTA('Raw Data'!$A$4:$A$33)*100,1))</f>
        <v/>
      </c>
      <c r="E33" s="19">
        <f>IF('Raw Data'!A26="","",ROUND(RANK.EQ('Raw Data'!H26,'Raw Data'!$H$4:$H$33,1)/COUNTA('Raw Data'!$A$4:$A$33)*100,1))</f>
        <v/>
      </c>
      <c r="F33" s="19">
        <f>IF('Raw Data'!A26="","",ROUND((COUNTA('Raw Data'!$A$4:$A$33)-RANK.EQ('Raw Data'!J26,'Raw Data'!$J$4:$J$33,1)+1)/COUNTA('Raw Data'!$A$4:$A$33)*100,1))</f>
        <v/>
      </c>
      <c r="G33" s="19">
        <f>IF('Raw Data'!A26="","",ROUND(RANK.EQ('Raw Data'!K26,'Raw Data'!$K$4:$K$33,1)/COUNTA('Raw Data'!$A$4:$A$33)*100,1))</f>
        <v/>
      </c>
      <c r="H33" s="20">
        <f>IF(C33="","",ROUND(C33*0.35+D33*0.25+E33*0.20+F33*0.10+G33*0.10,1))</f>
        <v/>
      </c>
      <c r="I33" s="19">
        <f>IF(H33="","",RANK.EQ(H33,$H$11:$H$40,0))</f>
        <v/>
      </c>
      <c r="J33" s="19">
        <f>IF(H33="","",IF(H33&gt;=80,"★★★ Strong Buy",IF(H33&gt;=65,"★★ Buy",IF(H33&gt;=50,"★ Hold","✗ Pass"))))</f>
        <v/>
      </c>
    </row>
    <row r="34" ht="17" customHeight="1">
      <c r="A34" s="21">
        <f>'Raw Data'!A27</f>
        <v/>
      </c>
      <c r="B34" s="22">
        <f>'Raw Data'!B27</f>
        <v/>
      </c>
      <c r="C34" s="22">
        <f>IF('Raw Data'!A27="","",ROUND((RANK.EQ('Raw Data'!F27,'Raw Data'!$F$4:$F$33,1)/COUNTA('Raw Data'!$A$4:$A$33)*100)*0.6+(RANK.EQ('Raw Data'!E27,'Raw Data'!$E$4:$E$33,1)/COUNTA('Raw Data'!$A$4:$A$33)*100)*0.4,1))</f>
        <v/>
      </c>
      <c r="D34" s="22">
        <f>IF('Raw Data'!A27="","",ROUND((COUNTA('Raw Data'!$A$4:$A$33)-RANK.EQ('Raw Data'!G27,'Raw Data'!$G$4:$G$33,1)+1)/COUNTA('Raw Data'!$A$4:$A$33)*100,1))</f>
        <v/>
      </c>
      <c r="E34" s="22">
        <f>IF('Raw Data'!A27="","",ROUND(RANK.EQ('Raw Data'!H27,'Raw Data'!$H$4:$H$33,1)/COUNTA('Raw Data'!$A$4:$A$33)*100,1))</f>
        <v/>
      </c>
      <c r="F34" s="22">
        <f>IF('Raw Data'!A27="","",ROUND((COUNTA('Raw Data'!$A$4:$A$33)-RANK.EQ('Raw Data'!J27,'Raw Data'!$J$4:$J$33,1)+1)/COUNTA('Raw Data'!$A$4:$A$33)*100,1))</f>
        <v/>
      </c>
      <c r="G34" s="22">
        <f>IF('Raw Data'!A27="","",ROUND(RANK.EQ('Raw Data'!K27,'Raw Data'!$K$4:$K$33,1)/COUNTA('Raw Data'!$A$4:$A$33)*100,1))</f>
        <v/>
      </c>
      <c r="H34" s="23">
        <f>IF(C34="","",ROUND(C34*0.35+D34*0.25+E34*0.20+F34*0.10+G34*0.10,1))</f>
        <v/>
      </c>
      <c r="I34" s="22">
        <f>IF(H34="","",RANK.EQ(H34,$H$11:$H$40,0))</f>
        <v/>
      </c>
      <c r="J34" s="22">
        <f>IF(H34="","",IF(H34&gt;=80,"★★★ Strong Buy",IF(H34&gt;=65,"★★ Buy",IF(H34&gt;=50,"★ Hold","✗ Pass"))))</f>
        <v/>
      </c>
    </row>
    <row r="35" ht="17" customHeight="1">
      <c r="A35" s="18">
        <f>'Raw Data'!A28</f>
        <v/>
      </c>
      <c r="B35" s="19">
        <f>'Raw Data'!B28</f>
        <v/>
      </c>
      <c r="C35" s="19">
        <f>IF('Raw Data'!A28="","",ROUND((RANK.EQ('Raw Data'!F28,'Raw Data'!$F$4:$F$33,1)/COUNTA('Raw Data'!$A$4:$A$33)*100)*0.6+(RANK.EQ('Raw Data'!E28,'Raw Data'!$E$4:$E$33,1)/COUNTA('Raw Data'!$A$4:$A$33)*100)*0.4,1))</f>
        <v/>
      </c>
      <c r="D35" s="19">
        <f>IF('Raw Data'!A28="","",ROUND((COUNTA('Raw Data'!$A$4:$A$33)-RANK.EQ('Raw Data'!G28,'Raw Data'!$G$4:$G$33,1)+1)/COUNTA('Raw Data'!$A$4:$A$33)*100,1))</f>
        <v/>
      </c>
      <c r="E35" s="19">
        <f>IF('Raw Data'!A28="","",ROUND(RANK.EQ('Raw Data'!H28,'Raw Data'!$H$4:$H$33,1)/COUNTA('Raw Data'!$A$4:$A$33)*100,1))</f>
        <v/>
      </c>
      <c r="F35" s="19">
        <f>IF('Raw Data'!A28="","",ROUND((COUNTA('Raw Data'!$A$4:$A$33)-RANK.EQ('Raw Data'!J28,'Raw Data'!$J$4:$J$33,1)+1)/COUNTA('Raw Data'!$A$4:$A$33)*100,1))</f>
        <v/>
      </c>
      <c r="G35" s="19">
        <f>IF('Raw Data'!A28="","",ROUND(RANK.EQ('Raw Data'!K28,'Raw Data'!$K$4:$K$33,1)/COUNTA('Raw Data'!$A$4:$A$33)*100,1))</f>
        <v/>
      </c>
      <c r="H35" s="20">
        <f>IF(C35="","",ROUND(C35*0.35+D35*0.25+E35*0.20+F35*0.10+G35*0.10,1))</f>
        <v/>
      </c>
      <c r="I35" s="19">
        <f>IF(H35="","",RANK.EQ(H35,$H$11:$H$40,0))</f>
        <v/>
      </c>
      <c r="J35" s="19">
        <f>IF(H35="","",IF(H35&gt;=80,"★★★ Strong Buy",IF(H35&gt;=65,"★★ Buy",IF(H35&gt;=50,"★ Hold","✗ Pass"))))</f>
        <v/>
      </c>
    </row>
    <row r="36" ht="17" customHeight="1">
      <c r="A36" s="21">
        <f>'Raw Data'!A29</f>
        <v/>
      </c>
      <c r="B36" s="22">
        <f>'Raw Data'!B29</f>
        <v/>
      </c>
      <c r="C36" s="22">
        <f>IF('Raw Data'!A29="","",ROUND((RANK.EQ('Raw Data'!F29,'Raw Data'!$F$4:$F$33,1)/COUNTA('Raw Data'!$A$4:$A$33)*100)*0.6+(RANK.EQ('Raw Data'!E29,'Raw Data'!$E$4:$E$33,1)/COUNTA('Raw Data'!$A$4:$A$33)*100)*0.4,1))</f>
        <v/>
      </c>
      <c r="D36" s="22">
        <f>IF('Raw Data'!A29="","",ROUND((COUNTA('Raw Data'!$A$4:$A$33)-RANK.EQ('Raw Data'!G29,'Raw Data'!$G$4:$G$33,1)+1)/COUNTA('Raw Data'!$A$4:$A$33)*100,1))</f>
        <v/>
      </c>
      <c r="E36" s="22">
        <f>IF('Raw Data'!A29="","",ROUND(RANK.EQ('Raw Data'!H29,'Raw Data'!$H$4:$H$33,1)/COUNTA('Raw Data'!$A$4:$A$33)*100,1))</f>
        <v/>
      </c>
      <c r="F36" s="22">
        <f>IF('Raw Data'!A29="","",ROUND((COUNTA('Raw Data'!$A$4:$A$33)-RANK.EQ('Raw Data'!J29,'Raw Data'!$J$4:$J$33,1)+1)/COUNTA('Raw Data'!$A$4:$A$33)*100,1))</f>
        <v/>
      </c>
      <c r="G36" s="22">
        <f>IF('Raw Data'!A29="","",ROUND(RANK.EQ('Raw Data'!K29,'Raw Data'!$K$4:$K$33,1)/COUNTA('Raw Data'!$A$4:$A$33)*100,1))</f>
        <v/>
      </c>
      <c r="H36" s="23">
        <f>IF(C36="","",ROUND(C36*0.35+D36*0.25+E36*0.20+F36*0.10+G36*0.10,1))</f>
        <v/>
      </c>
      <c r="I36" s="22">
        <f>IF(H36="","",RANK.EQ(H36,$H$11:$H$40,0))</f>
        <v/>
      </c>
      <c r="J36" s="22">
        <f>IF(H36="","",IF(H36&gt;=80,"★★★ Strong Buy",IF(H36&gt;=65,"★★ Buy",IF(H36&gt;=50,"★ Hold","✗ Pass"))))</f>
        <v/>
      </c>
    </row>
    <row r="37" ht="17" customHeight="1">
      <c r="A37" s="18">
        <f>'Raw Data'!A30</f>
        <v/>
      </c>
      <c r="B37" s="19">
        <f>'Raw Data'!B30</f>
        <v/>
      </c>
      <c r="C37" s="19">
        <f>IF('Raw Data'!A30="","",ROUND((RANK.EQ('Raw Data'!F30,'Raw Data'!$F$4:$F$33,1)/COUNTA('Raw Data'!$A$4:$A$33)*100)*0.6+(RANK.EQ('Raw Data'!E30,'Raw Data'!$E$4:$E$33,1)/COUNTA('Raw Data'!$A$4:$A$33)*100)*0.4,1))</f>
        <v/>
      </c>
      <c r="D37" s="19">
        <f>IF('Raw Data'!A30="","",ROUND((COUNTA('Raw Data'!$A$4:$A$33)-RANK.EQ('Raw Data'!G30,'Raw Data'!$G$4:$G$33,1)+1)/COUNTA('Raw Data'!$A$4:$A$33)*100,1))</f>
        <v/>
      </c>
      <c r="E37" s="19">
        <f>IF('Raw Data'!A30="","",ROUND(RANK.EQ('Raw Data'!H30,'Raw Data'!$H$4:$H$33,1)/COUNTA('Raw Data'!$A$4:$A$33)*100,1))</f>
        <v/>
      </c>
      <c r="F37" s="19">
        <f>IF('Raw Data'!A30="","",ROUND((COUNTA('Raw Data'!$A$4:$A$33)-RANK.EQ('Raw Data'!J30,'Raw Data'!$J$4:$J$33,1)+1)/COUNTA('Raw Data'!$A$4:$A$33)*100,1))</f>
        <v/>
      </c>
      <c r="G37" s="19">
        <f>IF('Raw Data'!A30="","",ROUND(RANK.EQ('Raw Data'!K30,'Raw Data'!$K$4:$K$33,1)/COUNTA('Raw Data'!$A$4:$A$33)*100,1))</f>
        <v/>
      </c>
      <c r="H37" s="20">
        <f>IF(C37="","",ROUND(C37*0.35+D37*0.25+E37*0.20+F37*0.10+G37*0.10,1))</f>
        <v/>
      </c>
      <c r="I37" s="19">
        <f>IF(H37="","",RANK.EQ(H37,$H$11:$H$40,0))</f>
        <v/>
      </c>
      <c r="J37" s="19">
        <f>IF(H37="","",IF(H37&gt;=80,"★★★ Strong Buy",IF(H37&gt;=65,"★★ Buy",IF(H37&gt;=50,"★ Hold","✗ Pass"))))</f>
        <v/>
      </c>
    </row>
    <row r="38" ht="17" customHeight="1">
      <c r="A38" s="21">
        <f>'Raw Data'!A31</f>
        <v/>
      </c>
      <c r="B38" s="22">
        <f>'Raw Data'!B31</f>
        <v/>
      </c>
      <c r="C38" s="22">
        <f>IF('Raw Data'!A31="","",ROUND((RANK.EQ('Raw Data'!F31,'Raw Data'!$F$4:$F$33,1)/COUNTA('Raw Data'!$A$4:$A$33)*100)*0.6+(RANK.EQ('Raw Data'!E31,'Raw Data'!$E$4:$E$33,1)/COUNTA('Raw Data'!$A$4:$A$33)*100)*0.4,1))</f>
        <v/>
      </c>
      <c r="D38" s="22">
        <f>IF('Raw Data'!A31="","",ROUND((COUNTA('Raw Data'!$A$4:$A$33)-RANK.EQ('Raw Data'!G31,'Raw Data'!$G$4:$G$33,1)+1)/COUNTA('Raw Data'!$A$4:$A$33)*100,1))</f>
        <v/>
      </c>
      <c r="E38" s="22">
        <f>IF('Raw Data'!A31="","",ROUND(RANK.EQ('Raw Data'!H31,'Raw Data'!$H$4:$H$33,1)/COUNTA('Raw Data'!$A$4:$A$33)*100,1))</f>
        <v/>
      </c>
      <c r="F38" s="22">
        <f>IF('Raw Data'!A31="","",ROUND((COUNTA('Raw Data'!$A$4:$A$33)-RANK.EQ('Raw Data'!J31,'Raw Data'!$J$4:$J$33,1)+1)/COUNTA('Raw Data'!$A$4:$A$33)*100,1))</f>
        <v/>
      </c>
      <c r="G38" s="22">
        <f>IF('Raw Data'!A31="","",ROUND(RANK.EQ('Raw Data'!K31,'Raw Data'!$K$4:$K$33,1)/COUNTA('Raw Data'!$A$4:$A$33)*100,1))</f>
        <v/>
      </c>
      <c r="H38" s="23">
        <f>IF(C38="","",ROUND(C38*0.35+D38*0.25+E38*0.20+F38*0.10+G38*0.10,1))</f>
        <v/>
      </c>
      <c r="I38" s="22">
        <f>IF(H38="","",RANK.EQ(H38,$H$11:$H$40,0))</f>
        <v/>
      </c>
      <c r="J38" s="22">
        <f>IF(H38="","",IF(H38&gt;=80,"★★★ Strong Buy",IF(H38&gt;=65,"★★ Buy",IF(H38&gt;=50,"★ Hold","✗ Pass"))))</f>
        <v/>
      </c>
    </row>
    <row r="39" ht="17" customHeight="1">
      <c r="A39" s="18">
        <f>'Raw Data'!A32</f>
        <v/>
      </c>
      <c r="B39" s="19">
        <f>'Raw Data'!B32</f>
        <v/>
      </c>
      <c r="C39" s="19">
        <f>IF('Raw Data'!A32="","",ROUND((RANK.EQ('Raw Data'!F32,'Raw Data'!$F$4:$F$33,1)/COUNTA('Raw Data'!$A$4:$A$33)*100)*0.6+(RANK.EQ('Raw Data'!E32,'Raw Data'!$E$4:$E$33,1)/COUNTA('Raw Data'!$A$4:$A$33)*100)*0.4,1))</f>
        <v/>
      </c>
      <c r="D39" s="19">
        <f>IF('Raw Data'!A32="","",ROUND((COUNTA('Raw Data'!$A$4:$A$33)-RANK.EQ('Raw Data'!G32,'Raw Data'!$G$4:$G$33,1)+1)/COUNTA('Raw Data'!$A$4:$A$33)*100,1))</f>
        <v/>
      </c>
      <c r="E39" s="19">
        <f>IF('Raw Data'!A32="","",ROUND(RANK.EQ('Raw Data'!H32,'Raw Data'!$H$4:$H$33,1)/COUNTA('Raw Data'!$A$4:$A$33)*100,1))</f>
        <v/>
      </c>
      <c r="F39" s="19">
        <f>IF('Raw Data'!A32="","",ROUND((COUNTA('Raw Data'!$A$4:$A$33)-RANK.EQ('Raw Data'!J32,'Raw Data'!$J$4:$J$33,1)+1)/COUNTA('Raw Data'!$A$4:$A$33)*100,1))</f>
        <v/>
      </c>
      <c r="G39" s="19">
        <f>IF('Raw Data'!A32="","",ROUND(RANK.EQ('Raw Data'!K32,'Raw Data'!$K$4:$K$33,1)/COUNTA('Raw Data'!$A$4:$A$33)*100,1))</f>
        <v/>
      </c>
      <c r="H39" s="20">
        <f>IF(C39="","",ROUND(C39*0.35+D39*0.25+E39*0.20+F39*0.10+G39*0.10,1))</f>
        <v/>
      </c>
      <c r="I39" s="19">
        <f>IF(H39="","",RANK.EQ(H39,$H$11:$H$40,0))</f>
        <v/>
      </c>
      <c r="J39" s="19">
        <f>IF(H39="","",IF(H39&gt;=80,"★★★ Strong Buy",IF(H39&gt;=65,"★★ Buy",IF(H39&gt;=50,"★ Hold","✗ Pass"))))</f>
        <v/>
      </c>
    </row>
    <row r="40" ht="17" customHeight="1">
      <c r="A40" s="21">
        <f>'Raw Data'!A33</f>
        <v/>
      </c>
      <c r="B40" s="22">
        <f>'Raw Data'!B33</f>
        <v/>
      </c>
      <c r="C40" s="22">
        <f>IF('Raw Data'!A33="","",ROUND((RANK.EQ('Raw Data'!F33,'Raw Data'!$F$4:$F$33,1)/COUNTA('Raw Data'!$A$4:$A$33)*100)*0.6+(RANK.EQ('Raw Data'!E33,'Raw Data'!$E$4:$E$33,1)/COUNTA('Raw Data'!$A$4:$A$33)*100)*0.4,1))</f>
        <v/>
      </c>
      <c r="D40" s="22">
        <f>IF('Raw Data'!A33="","",ROUND((COUNTA('Raw Data'!$A$4:$A$33)-RANK.EQ('Raw Data'!G33,'Raw Data'!$G$4:$G$33,1)+1)/COUNTA('Raw Data'!$A$4:$A$33)*100,1))</f>
        <v/>
      </c>
      <c r="E40" s="22">
        <f>IF('Raw Data'!A33="","",ROUND(RANK.EQ('Raw Data'!H33,'Raw Data'!$H$4:$H$33,1)/COUNTA('Raw Data'!$A$4:$A$33)*100,1))</f>
        <v/>
      </c>
      <c r="F40" s="22">
        <f>IF('Raw Data'!A33="","",ROUND((COUNTA('Raw Data'!$A$4:$A$33)-RANK.EQ('Raw Data'!J33,'Raw Data'!$J$4:$J$33,1)+1)/COUNTA('Raw Data'!$A$4:$A$33)*100,1))</f>
        <v/>
      </c>
      <c r="G40" s="22">
        <f>IF('Raw Data'!A33="","",ROUND(RANK.EQ('Raw Data'!K33,'Raw Data'!$K$4:$K$33,1)/COUNTA('Raw Data'!$A$4:$A$33)*100,1))</f>
        <v/>
      </c>
      <c r="H40" s="23">
        <f>IF(C40="","",ROUND(C40*0.35+D40*0.25+E40*0.20+F40*0.10+G40*0.10,1))</f>
        <v/>
      </c>
      <c r="I40" s="22">
        <f>IF(H40="","",RANK.EQ(H40,$H$11:$H$40,0))</f>
        <v/>
      </c>
      <c r="J40" s="22">
        <f>IF(H40="","",IF(H40&gt;=80,"★★★ Strong Buy",IF(H40&gt;=65,"★★ Buy",IF(H40&gt;=50,"★ Hold","✗ Pass"))))</f>
        <v/>
      </c>
    </row>
  </sheetData>
  <mergeCells count="3">
    <mergeCell ref="A1:J1"/>
    <mergeCell ref="A9:J9"/>
    <mergeCell ref="A2:J2"/>
  </mergeCells>
  <conditionalFormatting sqref="H11:H40">
    <cfRule type="colorScale" priority="1">
      <colorScale>
        <cfvo type="min"/>
        <cfvo type="percentile" val="50"/>
        <cfvo type="max"/>
        <color rgb="00FFCCCC"/>
        <color rgb="00FFFF99"/>
        <color rgb="00CCFFC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8" customWidth="1" min="2" max="2"/>
    <col width="18" customWidth="1" min="3" max="3"/>
    <col width="12" customWidth="1" min="4" max="4"/>
    <col width="16" customWidth="1" min="5" max="5"/>
    <col width="28" customWidth="1" min="6" max="6"/>
    <col width="28" customWidth="1" min="7" max="7"/>
  </cols>
  <sheetData>
    <row r="1" ht="28" customHeight="1">
      <c r="A1" s="8" t="inlineStr">
        <is>
          <t>OUTPUT — RANKED LEADERBOARD (auto-sorted)</t>
        </is>
      </c>
    </row>
    <row r="2" ht="18" customHeight="1">
      <c r="A2" s="2" t="inlineStr">
        <is>
          <t>Sort the Scoring tab by column H (Total Score) descending to see the leaderboard. Top 3 highlighted for qualitative review in the Notes tab.</t>
        </is>
      </c>
    </row>
    <row r="3" ht="22" customHeight="1">
      <c r="A3" s="9" t="inlineStr">
        <is>
          <t>Rank</t>
        </is>
      </c>
      <c r="B3" s="9" t="inlineStr">
        <is>
          <t>Fund Name</t>
        </is>
      </c>
      <c r="C3" s="9" t="inlineStr">
        <is>
          <t>Category</t>
        </is>
      </c>
      <c r="D3" s="9" t="inlineStr">
        <is>
          <t>Total Score</t>
        </is>
      </c>
      <c r="E3" s="9" t="inlineStr">
        <is>
          <t>Rating</t>
        </is>
      </c>
      <c r="F3" s="9" t="inlineStr">
        <is>
          <t>Key Strength</t>
        </is>
      </c>
      <c r="G3" s="9" t="inlineStr">
        <is>
          <t>Key Risk</t>
        </is>
      </c>
    </row>
    <row r="4" ht="20" customHeight="1">
      <c r="A4" s="19" t="n">
        <v>1</v>
      </c>
      <c r="B4" s="18">
        <f>IFERROR(INDEX(Scoring!A$11:A$40,MATCH(1,Scoring!I$11:I$40,0)),"")</f>
        <v/>
      </c>
      <c r="C4" s="18">
        <f>IFERROR(INDEX(Scoring!B$11:B$40,MATCH(1,Scoring!I$11:I$40,0)),"")</f>
        <v/>
      </c>
      <c r="D4" s="20">
        <f>IFERROR(INDEX(Scoring!H$11:H$40,MATCH(1,Scoring!I$11:I$40,0)),"")</f>
        <v/>
      </c>
      <c r="E4" s="18">
        <f>IFERROR(INDEX(Scoring!J$11:J$40,MATCH(1,Scoring!I$11:I$40,0)),"")</f>
        <v/>
      </c>
      <c r="F4" s="18" t="inlineStr"/>
      <c r="G4" s="18" t="inlineStr"/>
    </row>
    <row r="5" ht="20" customHeight="1">
      <c r="A5" s="19" t="n">
        <v>2</v>
      </c>
      <c r="B5" s="18">
        <f>IFERROR(INDEX(Scoring!A$11:A$40,MATCH(2,Scoring!I$11:I$40,0)),"")</f>
        <v/>
      </c>
      <c r="C5" s="18">
        <f>IFERROR(INDEX(Scoring!B$11:B$40,MATCH(2,Scoring!I$11:I$40,0)),"")</f>
        <v/>
      </c>
      <c r="D5" s="20">
        <f>IFERROR(INDEX(Scoring!H$11:H$40,MATCH(2,Scoring!I$11:I$40,0)),"")</f>
        <v/>
      </c>
      <c r="E5" s="18">
        <f>IFERROR(INDEX(Scoring!J$11:J$40,MATCH(2,Scoring!I$11:I$40,0)),"")</f>
        <v/>
      </c>
      <c r="F5" s="18" t="inlineStr"/>
      <c r="G5" s="18" t="inlineStr"/>
    </row>
    <row r="6" ht="20" customHeight="1">
      <c r="A6" s="19" t="n">
        <v>3</v>
      </c>
      <c r="B6" s="18">
        <f>IFERROR(INDEX(Scoring!A$11:A$40,MATCH(3,Scoring!I$11:I$40,0)),"")</f>
        <v/>
      </c>
      <c r="C6" s="18">
        <f>IFERROR(INDEX(Scoring!B$11:B$40,MATCH(3,Scoring!I$11:I$40,0)),"")</f>
        <v/>
      </c>
      <c r="D6" s="20">
        <f>IFERROR(INDEX(Scoring!H$11:H$40,MATCH(3,Scoring!I$11:I$40,0)),"")</f>
        <v/>
      </c>
      <c r="E6" s="18">
        <f>IFERROR(INDEX(Scoring!J$11:J$40,MATCH(3,Scoring!I$11:I$40,0)),"")</f>
        <v/>
      </c>
      <c r="F6" s="18" t="inlineStr"/>
      <c r="G6" s="18" t="inlineStr"/>
    </row>
    <row r="7" ht="20" customHeight="1">
      <c r="A7" s="24" t="n">
        <v>4</v>
      </c>
      <c r="B7" s="25">
        <f>IFERROR(INDEX(Scoring!A$11:A$40,MATCH(4,Scoring!I$11:I$40,0)),"")</f>
        <v/>
      </c>
      <c r="C7" s="25">
        <f>IFERROR(INDEX(Scoring!B$11:B$40,MATCH(4,Scoring!I$11:I$40,0)),"")</f>
        <v/>
      </c>
      <c r="D7" s="26">
        <f>IFERROR(INDEX(Scoring!H$11:H$40,MATCH(4,Scoring!I$11:I$40,0)),"")</f>
        <v/>
      </c>
      <c r="E7" s="25">
        <f>IFERROR(INDEX(Scoring!J$11:J$40,MATCH(4,Scoring!I$11:I$40,0)),"")</f>
        <v/>
      </c>
      <c r="F7" s="25" t="inlineStr"/>
      <c r="G7" s="25" t="inlineStr"/>
    </row>
    <row r="8" ht="20" customHeight="1">
      <c r="A8" s="24" t="n">
        <v>5</v>
      </c>
      <c r="B8" s="25">
        <f>IFERROR(INDEX(Scoring!A$11:A$40,MATCH(5,Scoring!I$11:I$40,0)),"")</f>
        <v/>
      </c>
      <c r="C8" s="25">
        <f>IFERROR(INDEX(Scoring!B$11:B$40,MATCH(5,Scoring!I$11:I$40,0)),"")</f>
        <v/>
      </c>
      <c r="D8" s="26">
        <f>IFERROR(INDEX(Scoring!H$11:H$40,MATCH(5,Scoring!I$11:I$40,0)),"")</f>
        <v/>
      </c>
      <c r="E8" s="25">
        <f>IFERROR(INDEX(Scoring!J$11:J$40,MATCH(5,Scoring!I$11:I$40,0)),"")</f>
        <v/>
      </c>
      <c r="F8" s="25" t="inlineStr"/>
      <c r="G8" s="25" t="inlineStr"/>
    </row>
    <row r="9" ht="20" customHeight="1">
      <c r="A9" s="24" t="n">
        <v>6</v>
      </c>
      <c r="B9" s="25">
        <f>IFERROR(INDEX(Scoring!A$11:A$40,MATCH(6,Scoring!I$11:I$40,0)),"")</f>
        <v/>
      </c>
      <c r="C9" s="25">
        <f>IFERROR(INDEX(Scoring!B$11:B$40,MATCH(6,Scoring!I$11:I$40,0)),"")</f>
        <v/>
      </c>
      <c r="D9" s="26">
        <f>IFERROR(INDEX(Scoring!H$11:H$40,MATCH(6,Scoring!I$11:I$40,0)),"")</f>
        <v/>
      </c>
      <c r="E9" s="25">
        <f>IFERROR(INDEX(Scoring!J$11:J$40,MATCH(6,Scoring!I$11:I$40,0)),"")</f>
        <v/>
      </c>
      <c r="F9" s="25" t="inlineStr"/>
      <c r="G9" s="25" t="inlineStr"/>
    </row>
    <row r="10" ht="20" customHeight="1">
      <c r="A10" s="24" t="n">
        <v>7</v>
      </c>
      <c r="B10" s="25">
        <f>IFERROR(INDEX(Scoring!A$11:A$40,MATCH(7,Scoring!I$11:I$40,0)),"")</f>
        <v/>
      </c>
      <c r="C10" s="25">
        <f>IFERROR(INDEX(Scoring!B$11:B$40,MATCH(7,Scoring!I$11:I$40,0)),"")</f>
        <v/>
      </c>
      <c r="D10" s="26">
        <f>IFERROR(INDEX(Scoring!H$11:H$40,MATCH(7,Scoring!I$11:I$40,0)),"")</f>
        <v/>
      </c>
      <c r="E10" s="25">
        <f>IFERROR(INDEX(Scoring!J$11:J$40,MATCH(7,Scoring!I$11:I$40,0)),"")</f>
        <v/>
      </c>
      <c r="F10" s="25" t="inlineStr"/>
      <c r="G10" s="25" t="inlineStr"/>
    </row>
    <row r="11" ht="20" customHeight="1">
      <c r="A11" s="27" t="n">
        <v>8</v>
      </c>
      <c r="B11" s="28">
        <f>IFERROR(INDEX(Scoring!A$11:A$40,MATCH(8,Scoring!I$11:I$40,0)),"")</f>
        <v/>
      </c>
      <c r="C11" s="28">
        <f>IFERROR(INDEX(Scoring!B$11:B$40,MATCH(8,Scoring!I$11:I$40,0)),"")</f>
        <v/>
      </c>
      <c r="D11" s="29">
        <f>IFERROR(INDEX(Scoring!H$11:H$40,MATCH(8,Scoring!I$11:I$40,0)),"")</f>
        <v/>
      </c>
      <c r="E11" s="28">
        <f>IFERROR(INDEX(Scoring!J$11:J$40,MATCH(8,Scoring!I$11:I$40,0)),"")</f>
        <v/>
      </c>
      <c r="F11" s="28" t="inlineStr"/>
      <c r="G11" s="28" t="inlineStr"/>
    </row>
    <row r="12" ht="20" customHeight="1">
      <c r="A12" s="27" t="n">
        <v>9</v>
      </c>
      <c r="B12" s="28">
        <f>IFERROR(INDEX(Scoring!A$11:A$40,MATCH(9,Scoring!I$11:I$40,0)),"")</f>
        <v/>
      </c>
      <c r="C12" s="28">
        <f>IFERROR(INDEX(Scoring!B$11:B$40,MATCH(9,Scoring!I$11:I$40,0)),"")</f>
        <v/>
      </c>
      <c r="D12" s="29">
        <f>IFERROR(INDEX(Scoring!H$11:H$40,MATCH(9,Scoring!I$11:I$40,0)),"")</f>
        <v/>
      </c>
      <c r="E12" s="28">
        <f>IFERROR(INDEX(Scoring!J$11:J$40,MATCH(9,Scoring!I$11:I$40,0)),"")</f>
        <v/>
      </c>
      <c r="F12" s="28" t="inlineStr"/>
      <c r="G12" s="28" t="inlineStr"/>
    </row>
    <row r="13" ht="20" customHeight="1">
      <c r="A13" s="27" t="n">
        <v>10</v>
      </c>
      <c r="B13" s="28">
        <f>IFERROR(INDEX(Scoring!A$11:A$40,MATCH(10,Scoring!I$11:I$40,0)),"")</f>
        <v/>
      </c>
      <c r="C13" s="28">
        <f>IFERROR(INDEX(Scoring!B$11:B$40,MATCH(10,Scoring!I$11:I$40,0)),"")</f>
        <v/>
      </c>
      <c r="D13" s="29">
        <f>IFERROR(INDEX(Scoring!H$11:H$40,MATCH(10,Scoring!I$11:I$40,0)),"")</f>
        <v/>
      </c>
      <c r="E13" s="28">
        <f>IFERROR(INDEX(Scoring!J$11:J$40,MATCH(10,Scoring!I$11:I$40,0)),"")</f>
        <v/>
      </c>
      <c r="F13" s="28" t="inlineStr"/>
      <c r="G13" s="28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38" customWidth="1" min="3" max="3"/>
    <col width="38" customWidth="1" min="4" max="4"/>
  </cols>
  <sheetData>
    <row r="1" ht="28" customHeight="1">
      <c r="A1" s="8" t="inlineStr">
        <is>
          <t>QUALITATIVE NOTES — Top 3 Funds</t>
        </is>
      </c>
    </row>
    <row r="2" ht="22" customHeight="1">
      <c r="A2" s="3" t="inlineStr"/>
      <c r="B2" s="3" t="inlineStr">
        <is>
          <t>Rank 1</t>
        </is>
      </c>
      <c r="C2" s="3" t="inlineStr">
        <is>
          <t>Rank 2</t>
        </is>
      </c>
      <c r="D2" s="3" t="inlineStr">
        <is>
          <t>Rank 3</t>
        </is>
      </c>
    </row>
    <row r="3" ht="22" customHeight="1">
      <c r="A3" s="30" t="inlineStr">
        <is>
          <t>Fund Name</t>
        </is>
      </c>
      <c r="B3" s="31" t="n"/>
      <c r="C3" s="31" t="n"/>
      <c r="D3" s="31" t="n"/>
    </row>
    <row r="4" ht="22" customHeight="1">
      <c r="A4" s="30" t="inlineStr">
        <is>
          <t>AMC / Manager</t>
        </is>
      </c>
      <c r="B4" s="31" t="n"/>
      <c r="C4" s="31" t="n"/>
      <c r="D4" s="31" t="n"/>
    </row>
    <row r="5" ht="22" customHeight="1">
      <c r="A5" s="30" t="inlineStr">
        <is>
          <t>Mandate</t>
        </is>
      </c>
      <c r="B5" s="31" t="n"/>
      <c r="C5" s="31" t="n"/>
      <c r="D5" s="31" t="n"/>
    </row>
    <row r="6" ht="22" customHeight="1">
      <c r="A6" s="30" t="inlineStr">
        <is>
          <t>Manager Tenure</t>
        </is>
      </c>
      <c r="B6" s="31" t="n"/>
      <c r="C6" s="31" t="n"/>
      <c r="D6" s="31" t="n"/>
    </row>
    <row r="7" ht="22" customHeight="1">
      <c r="A7" s="30" t="inlineStr">
        <is>
          <t>Total Score</t>
        </is>
      </c>
      <c r="B7" s="31" t="n"/>
      <c r="C7" s="31" t="n"/>
      <c r="D7" s="31" t="n"/>
    </row>
    <row r="8" ht="40" customHeight="1">
      <c r="A8" s="30" t="inlineStr">
        <is>
          <t>Key Differentiator</t>
        </is>
      </c>
      <c r="B8" s="31" t="n"/>
      <c r="C8" s="31" t="n"/>
      <c r="D8" s="31" t="n"/>
    </row>
    <row r="9" ht="40" customHeight="1">
      <c r="A9" s="30" t="inlineStr">
        <is>
          <t>What it does well</t>
        </is>
      </c>
      <c r="B9" s="31" t="n"/>
      <c r="C9" s="31" t="n"/>
      <c r="D9" s="31" t="n"/>
    </row>
    <row r="10" ht="40" customHeight="1">
      <c r="A10" s="30" t="inlineStr">
        <is>
          <t>Main risk / concern</t>
        </is>
      </c>
      <c r="B10" s="31" t="n"/>
      <c r="C10" s="31" t="n"/>
      <c r="D10" s="31" t="n"/>
    </row>
    <row r="11" ht="40" customHeight="1">
      <c r="A11" s="30" t="inlineStr">
        <is>
          <t>Portfolio fit?</t>
        </is>
      </c>
      <c r="B11" s="31" t="n"/>
      <c r="C11" s="31" t="n"/>
      <c r="D11" s="31" t="n"/>
    </row>
    <row r="12" ht="40" customHeight="1">
      <c r="A12" s="30" t="inlineStr">
        <is>
          <t>Recommendation</t>
        </is>
      </c>
      <c r="B12" s="31" t="n"/>
      <c r="C12" s="31" t="n"/>
      <c r="D12" s="31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2026-03-16T10:52:22Z</dcterms:created>
  <dcterms:modified xsi:type="dcterms:W3CDTF">2026-03-16T10:52:22Z</dcterms:modified>
</cp:coreProperties>
</file>