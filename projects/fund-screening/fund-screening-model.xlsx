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harts &amp; Analytics" sheetId="2" state="visible" r:id="rId2"/>
    <sheet xmlns:r="http://schemas.openxmlformats.org/officeDocument/2006/relationships" name="_ChartData" sheetId="3" state="hidden" r:id="rId3"/>
    <sheet xmlns:r="http://schemas.openxmlformats.org/officeDocument/2006/relationships" name="Universe" sheetId="4" state="visible" r:id="rId4"/>
    <sheet xmlns:r="http://schemas.openxmlformats.org/officeDocument/2006/relationships" name="Raw Data" sheetId="5" state="visible" r:id="rId5"/>
    <sheet xmlns:r="http://schemas.openxmlformats.org/officeDocument/2006/relationships" name="Scoring Engine" sheetId="6" state="visible" r:id="rId6"/>
    <sheet xmlns:r="http://schemas.openxmlformats.org/officeDocument/2006/relationships" name="Category Rankings" sheetId="7" state="visible" r:id="rId7"/>
    <sheet xmlns:r="http://schemas.openxmlformats.org/officeDocument/2006/relationships" name="Qualitative Notes" sheetId="8" state="visible" r:id="rId8"/>
    <sheet xmlns:r="http://schemas.openxmlformats.org/officeDocument/2006/relationships" name="Portfolio Analytics" sheetId="9" state="visible" r:id="rId9"/>
    <sheet xmlns:r="http://schemas.openxmlformats.org/officeDocument/2006/relationships" name="Deep Dive" sheetId="10" state="visible" r:id="rId10"/>
    <sheet xmlns:r="http://schemas.openxmlformats.org/officeDocument/2006/relationships" name="Methodology" sheetId="11" state="visible" r:id="rId11"/>
  </sheets>
  <definedNames>
    <definedName name="_xlnm._FilterDatabase" localSheetId="3" hidden="1">'Universe'!$A$4:$M$137</definedName>
    <definedName name="_xlnm._FilterDatabase" localSheetId="4" hidden="1">'Raw Data'!$A$4:$X$84</definedName>
    <definedName name="_xlnm._FilterDatabase" localSheetId="5" hidden="1">'Scoring Engine'!$A$5:$U$85</definedName>
    <definedName name="_xlnm._FilterDatabase" localSheetId="7" hidden="1">'Qualitative Notes'!$A$4:$K$84</definedName>
    <definedName name="_xlnm._FilterDatabase" localSheetId="8" hidden="1">'Portfolio Analytics'!$A$4:$J$84</definedName>
    <definedName name="_xlnm._FilterDatabase" localSheetId="9" hidden="1">'Deep Dive'!$A$4:$P$84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4E79"/>
      <sz val="14"/>
    </font>
    <font>
      <name val="Arial"/>
      <color rgb="00666666"/>
      <sz val="9"/>
    </font>
    <font>
      <name val="Arial"/>
      <b val="1"/>
      <color rgb="001F4E79"/>
      <sz val="11"/>
    </font>
    <font>
      <name val="Arial"/>
      <b val="1"/>
      <color rgb="00FFFFFF"/>
      <sz val="10"/>
    </font>
    <font>
      <name val="Arial"/>
      <b val="1"/>
      <color rgb="001F4E79"/>
      <sz val="12"/>
    </font>
    <font>
      <name val="Arial"/>
      <b val="1"/>
      <color rgb="00000000"/>
      <sz val="10"/>
    </font>
    <font>
      <name val="Arial"/>
      <color rgb="00000000"/>
      <sz val="10"/>
    </font>
    <font>
      <name val="Arial"/>
      <b val="1"/>
      <color rgb="00006100"/>
      <sz val="10"/>
    </font>
    <font>
      <name val="Arial"/>
      <b val="1"/>
      <color rgb="00BF8F00"/>
      <sz val="10"/>
    </font>
    <font>
      <name val="Arial"/>
      <b val="1"/>
      <color rgb="00CC3333"/>
      <sz val="10"/>
    </font>
    <font>
      <name val="Arial"/>
      <b val="1"/>
      <color rgb="009C0006"/>
      <sz val="10"/>
    </font>
    <font>
      <name val="Arial"/>
      <i val="1"/>
      <color rgb="001F4E79"/>
      <sz val="9"/>
    </font>
    <font>
      <name val="Arial"/>
      <color rgb="009C0006"/>
      <sz val="10"/>
    </font>
    <font>
      <name val="Arial"/>
      <color rgb="00BF8F00"/>
      <sz val="10"/>
    </font>
  </fonts>
  <fills count="11">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5F8FB"/>
        <bgColor rgb="00F5F8FB"/>
      </patternFill>
    </fill>
    <fill>
      <patternFill patternType="solid">
        <fgColor rgb="00C6EFCE"/>
        <bgColor rgb="00C6EFCE"/>
      </patternFill>
    </fill>
    <fill>
      <patternFill patternType="solid">
        <fgColor rgb="00FFFFFF"/>
        <bgColor rgb="00FFFFFF"/>
      </patternFill>
    </fill>
    <fill>
      <patternFill patternType="solid">
        <fgColor rgb="00E2EFDA"/>
        <bgColor rgb="00E2EFDA"/>
      </patternFill>
    </fill>
    <fill>
      <patternFill patternType="solid">
        <fgColor rgb="00FFF2CC"/>
        <bgColor rgb="00FFF2CC"/>
      </patternFill>
    </fill>
    <fill>
      <patternFill patternType="solid">
        <fgColor rgb="00FCE4EC"/>
        <bgColor rgb="00FCE4EC"/>
      </patternFill>
    </fill>
    <fill>
      <patternFill patternType="solid">
        <fgColor rgb="00FFCCCC"/>
        <bgColor rgb="00FFCCCC"/>
      </patternFill>
    </fill>
  </fills>
  <borders count="6">
    <border>
      <left/>
      <right/>
      <top/>
      <bottom/>
      <diagonal/>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6"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center" vertical="center" wrapText="1"/>
    </xf>
    <xf numFmtId="0" fontId="7" fillId="0" borderId="0" applyAlignment="1" pivotButton="0" quotePrefix="0" xfId="0">
      <alignment vertical="center" wrapText="1"/>
    </xf>
    <xf numFmtId="0" fontId="1" fillId="0" borderId="0" applyAlignment="1" pivotButton="0" quotePrefix="0" xfId="0">
      <alignment horizontal="center" vertical="center" wrapText="1"/>
    </xf>
    <xf numFmtId="0" fontId="7" fillId="10" borderId="1" applyAlignment="1" pivotButton="0" quotePrefix="0" xfId="0">
      <alignment horizontal="center" vertical="center" wrapText="1"/>
    </xf>
    <xf numFmtId="0" fontId="12" fillId="0" borderId="0" applyAlignment="1" pivotButton="0" quotePrefix="0" xfId="0">
      <alignment horizontal="center" vertical="center" wrapText="1"/>
    </xf>
    <xf numFmtId="0" fontId="13" fillId="6" borderId="1" applyAlignment="1" pivotButton="0" quotePrefix="0" xfId="0">
      <alignment horizontal="center" vertical="center" wrapText="1"/>
    </xf>
    <xf numFmtId="0" fontId="14" fillId="8" borderId="1" applyAlignment="1" pivotButton="0" quotePrefix="0" xfId="0">
      <alignment horizontal="center" vertical="center" wrapText="1"/>
    </xf>
    <xf numFmtId="0" fontId="13" fillId="4"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Rating Distribution (80 Funds)</a:t>
            </a:r>
          </a:p>
        </rich>
      </tx>
    </title>
    <plotArea>
      <pieChart>
        <varyColors val="1"/>
        <ser>
          <idx val="0"/>
          <order val="0"/>
          <tx>
            <strRef>
              <f>'_ChartData'!B1</f>
            </strRef>
          </tx>
          <spPr>
            <a:ln xmlns:a="http://schemas.openxmlformats.org/drawingml/2006/main">
              <a:prstDash val="solid"/>
            </a:ln>
          </spPr>
          <dPt>
            <idx val="0"/>
            <spPr>
              <a:solidFill xmlns:a="http://schemas.openxmlformats.org/drawingml/2006/main">
                <a:srgbClr val="339933"/>
              </a:solidFill>
              <a:ln xmlns:a="http://schemas.openxmlformats.org/drawingml/2006/main">
                <a:prstDash val="solid"/>
              </a:ln>
            </spPr>
          </dPt>
          <dPt>
            <idx val="1"/>
            <spPr>
              <a:solidFill xmlns:a="http://schemas.openxmlformats.org/drawingml/2006/main">
                <a:srgbClr val="66CC66"/>
              </a:solidFill>
              <a:ln xmlns:a="http://schemas.openxmlformats.org/drawingml/2006/main">
                <a:prstDash val="solid"/>
              </a:ln>
            </spPr>
          </dPt>
          <dPt>
            <idx val="2"/>
            <spPr>
              <a:solidFill xmlns:a="http://schemas.openxmlformats.org/drawingml/2006/main">
                <a:srgbClr val="FFCC00"/>
              </a:solidFill>
              <a:ln xmlns:a="http://schemas.openxmlformats.org/drawingml/2006/main">
                <a:prstDash val="solid"/>
              </a:ln>
            </spPr>
          </dPt>
          <dPt>
            <idx val="3"/>
            <spPr>
              <a:solidFill xmlns:a="http://schemas.openxmlformats.org/drawingml/2006/main">
                <a:srgbClr val="FF8C00"/>
              </a:solidFill>
              <a:ln xmlns:a="http://schemas.openxmlformats.org/drawingml/2006/main">
                <a:prstDash val="solid"/>
              </a:ln>
            </spPr>
          </dPt>
          <dPt>
            <idx val="4"/>
            <spPr>
              <a:solidFill xmlns:a="http://schemas.openxmlformats.org/drawingml/2006/main">
                <a:srgbClr val="CC3333"/>
              </a:solidFill>
              <a:ln xmlns:a="http://schemas.openxmlformats.org/drawingml/2006/main">
                <a:prstDash val="solid"/>
              </a:ln>
            </spPr>
          </dPt>
          <cat>
            <numRef>
              <f>'_ChartData'!$A$2:$A$6</f>
            </numRef>
          </cat>
          <val>
            <numRef>
              <f>'_ChartData'!$B$2:$B$6</f>
            </numRef>
          </val>
        </ser>
        <dLbls>
          <showCatName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 Breakdown by Category</a:t>
            </a:r>
          </a:p>
        </rich>
      </tx>
    </title>
    <plotArea>
      <barChart>
        <barDir val="col"/>
        <grouping val="stacked"/>
        <ser>
          <idx val="0"/>
          <order val="0"/>
          <tx>
            <strRef>
              <f>'_ChartData'!E1</f>
            </strRef>
          </tx>
          <spPr>
            <a:solidFill xmlns:a="http://schemas.openxmlformats.org/drawingml/2006/main">
              <a:srgbClr val="339933"/>
            </a:solidFill>
            <a:ln xmlns:a="http://schemas.openxmlformats.org/drawingml/2006/main">
              <a:prstDash val="solid"/>
            </a:ln>
          </spPr>
          <cat>
            <numRef>
              <f>'_ChartData'!$D$2:$D$5</f>
            </numRef>
          </cat>
          <val>
            <numRef>
              <f>'_ChartData'!$E$2:$E$5</f>
            </numRef>
          </val>
        </ser>
        <ser>
          <idx val="1"/>
          <order val="1"/>
          <tx>
            <strRef>
              <f>'_ChartData'!F1</f>
            </strRef>
          </tx>
          <spPr>
            <a:solidFill xmlns:a="http://schemas.openxmlformats.org/drawingml/2006/main">
              <a:srgbClr val="66CC66"/>
            </a:solidFill>
            <a:ln xmlns:a="http://schemas.openxmlformats.org/drawingml/2006/main">
              <a:prstDash val="solid"/>
            </a:ln>
          </spPr>
          <cat>
            <numRef>
              <f>'_ChartData'!$D$2:$D$5</f>
            </numRef>
          </cat>
          <val>
            <numRef>
              <f>'_ChartData'!$F$2:$F$5</f>
            </numRef>
          </val>
        </ser>
        <ser>
          <idx val="2"/>
          <order val="2"/>
          <tx>
            <strRef>
              <f>'_ChartData'!G1</f>
            </strRef>
          </tx>
          <spPr>
            <a:solidFill xmlns:a="http://schemas.openxmlformats.org/drawingml/2006/main">
              <a:srgbClr val="FFCC00"/>
            </a:solidFill>
            <a:ln xmlns:a="http://schemas.openxmlformats.org/drawingml/2006/main">
              <a:prstDash val="solid"/>
            </a:ln>
          </spPr>
          <cat>
            <numRef>
              <f>'_ChartData'!$D$2:$D$5</f>
            </numRef>
          </cat>
          <val>
            <numRef>
              <f>'_ChartData'!$G$2:$G$5</f>
            </numRef>
          </val>
        </ser>
        <ser>
          <idx val="3"/>
          <order val="3"/>
          <tx>
            <strRef>
              <f>'_ChartData'!H1</f>
            </strRef>
          </tx>
          <spPr>
            <a:solidFill xmlns:a="http://schemas.openxmlformats.org/drawingml/2006/main">
              <a:srgbClr val="FF8C00"/>
            </a:solidFill>
            <a:ln xmlns:a="http://schemas.openxmlformats.org/drawingml/2006/main">
              <a:prstDash val="solid"/>
            </a:ln>
          </spPr>
          <cat>
            <numRef>
              <f>'_ChartData'!$D$2:$D$5</f>
            </numRef>
          </cat>
          <val>
            <numRef>
              <f>'_ChartData'!$H$2:$H$5</f>
            </numRef>
          </val>
        </ser>
        <ser>
          <idx val="4"/>
          <order val="4"/>
          <tx>
            <strRef>
              <f>'_ChartData'!I1</f>
            </strRef>
          </tx>
          <spPr>
            <a:solidFill xmlns:a="http://schemas.openxmlformats.org/drawingml/2006/main">
              <a:srgbClr val="CC3333"/>
            </a:solidFill>
            <a:ln xmlns:a="http://schemas.openxmlformats.org/drawingml/2006/main">
              <a:prstDash val="solid"/>
            </a:ln>
          </spPr>
          <cat>
            <numRef>
              <f>'_ChartData'!$D$2:$D$5</f>
            </numRef>
          </cat>
          <val>
            <numRef>
              <f>'_ChartData'!$I$2:$I$5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Funds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Composite Score Distribution</a:t>
            </a:r>
          </a:p>
        </rich>
      </tx>
    </title>
    <plotArea>
      <barChart>
        <barDir val="col"/>
        <grouping val="clustered"/>
        <ser>
          <idx val="0"/>
          <order val="0"/>
          <tx>
            <strRef>
              <f>'_ChartData'!B8</f>
            </strRef>
          </tx>
          <spPr>
            <a:solidFill xmlns:a="http://schemas.openxmlformats.org/drawingml/2006/main">
              <a:srgbClr val="2E75B6"/>
            </a:solidFill>
            <a:ln xmlns:a="http://schemas.openxmlformats.org/drawingml/2006/main">
              <a:prstDash val="solid"/>
            </a:ln>
          </spPr>
          <cat>
            <numRef>
              <f>'_ChartData'!$A$9:$A$13</f>
            </numRef>
          </cat>
          <val>
            <numRef>
              <f>'_ChartData'!$B$9:$B$13</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Score Range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Funds</a:t>
                </a:r>
              </a:p>
            </rich>
          </tx>
        </title>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Top 15 Funds by Composite Score</a:t>
            </a:r>
          </a:p>
        </rich>
      </tx>
    </title>
    <plotArea>
      <barChart>
        <barDir val="bar"/>
        <grouping val="clustered"/>
        <ser>
          <idx val="0"/>
          <order val="0"/>
          <tx>
            <strRef>
              <f>'_ChartData'!B15</f>
            </strRef>
          </tx>
          <spPr>
            <a:solidFill xmlns:a="http://schemas.openxmlformats.org/drawingml/2006/main">
              <a:srgbClr val="1F4E79"/>
            </a:solidFill>
            <a:ln xmlns:a="http://schemas.openxmlformats.org/drawingml/2006/main">
              <a:prstDash val="solid"/>
            </a:ln>
          </spPr>
          <cat>
            <numRef>
              <f>'_ChartData'!$A$16:$A$30</f>
            </numRef>
          </cat>
          <val>
            <numRef>
              <f>'_ChartData'!$B$16:$B$30</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Composite Score</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3Y Alpha vs Composite Score</a:t>
            </a:r>
          </a:p>
        </rich>
      </tx>
    </title>
    <plotArea>
      <scatterChart>
        <ser>
          <idx val="0"/>
          <order val="0"/>
          <tx>
            <v>Funds</v>
          </tx>
          <spPr>
            <a:ln xmlns:a="http://schemas.openxmlformats.org/drawingml/2006/main">
              <a:noFill/>
              <a:prstDash val="solid"/>
            </a:ln>
          </spPr>
          <marker>
            <symbol val="circle"/>
            <size val="5"/>
            <spPr>
              <a:solidFill xmlns:a="http://schemas.openxmlformats.org/drawingml/2006/main">
                <a:srgbClr val="2E75B6"/>
              </a:solidFill>
              <a:ln xmlns:a="http://schemas.openxmlformats.org/drawingml/2006/main">
                <a:prstDash val="solid"/>
              </a:ln>
            </spPr>
          </marker>
          <xVal>
            <numRef>
              <f>'_ChartData'!$A$33:$A$112</f>
            </numRef>
          </xVal>
          <yVal>
            <numRef>
              <f>'_ChartData'!$B$33:$B$112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3Y Alpha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Composite Score</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Sharpe Ratio vs Sortino Ratio</a:t>
            </a:r>
          </a:p>
        </rich>
      </tx>
    </title>
    <plotArea>
      <scatterChart>
        <ser>
          <idx val="0"/>
          <order val="0"/>
          <tx>
            <v>Funds</v>
          </tx>
          <spPr>
            <a:ln xmlns:a="http://schemas.openxmlformats.org/drawingml/2006/main">
              <a:noFill/>
              <a:prstDash val="solid"/>
            </a:ln>
          </spPr>
          <marker>
            <symbol val="circle"/>
            <size val="5"/>
            <spPr>
              <a:solidFill xmlns:a="http://schemas.openxmlformats.org/drawingml/2006/main">
                <a:srgbClr val="E65100"/>
              </a:solidFill>
              <a:ln xmlns:a="http://schemas.openxmlformats.org/drawingml/2006/main">
                <a:prstDash val="solid"/>
              </a:ln>
            </spPr>
          </marker>
          <xVal>
            <numRef>
              <f>'_ChartData'!$A$115:$A$194</f>
            </numRef>
          </xVal>
          <yVal>
            <numRef>
              <f>'_ChartData'!$B$115:$B$194</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Sharpe Ratio</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Sortino Ratio</a:t>
                </a:r>
              </a:p>
            </rich>
          </tx>
        </title>
        <majorTickMark val="none"/>
        <minorTickMark val="none"/>
        <crossAx val="10"/>
      </valAx>
    </plotArea>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Up Capture vs Down Capture (Efficiency Frontier)</a:t>
            </a:r>
          </a:p>
        </rich>
      </tx>
    </title>
    <plotArea>
      <scatterChart>
        <ser>
          <idx val="0"/>
          <order val="0"/>
          <tx>
            <v>Funds</v>
          </tx>
          <spPr>
            <a:ln xmlns:a="http://schemas.openxmlformats.org/drawingml/2006/main">
              <a:noFill/>
              <a:prstDash val="solid"/>
            </a:ln>
          </spPr>
          <marker>
            <symbol val="diamond"/>
            <size val="5"/>
            <spPr>
              <a:solidFill xmlns:a="http://schemas.openxmlformats.org/drawingml/2006/main">
                <a:srgbClr val="1F4E79"/>
              </a:solidFill>
              <a:ln xmlns:a="http://schemas.openxmlformats.org/drawingml/2006/main">
                <a:prstDash val="solid"/>
              </a:ln>
            </spPr>
          </marker>
          <xVal>
            <numRef>
              <f>'_ChartData'!$A$197:$A$276</f>
            </numRef>
          </xVal>
          <yVal>
            <numRef>
              <f>'_ChartData'!$B$197:$B$276</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Down Capture Ratio</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Up Capture Ratio</a:t>
                </a:r>
              </a:p>
            </rich>
          </tx>
        </title>
        <majorTickMark val="none"/>
        <minorTickMark val="none"/>
        <crossAx val="10"/>
      </valAx>
    </plotArea>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Expense Ratio vs Composite Score</a:t>
            </a:r>
          </a:p>
        </rich>
      </tx>
    </title>
    <plotArea>
      <scatterChart>
        <ser>
          <idx val="0"/>
          <order val="0"/>
          <tx>
            <v>Funds</v>
          </tx>
          <spPr>
            <a:ln xmlns:a="http://schemas.openxmlformats.org/drawingml/2006/main">
              <a:noFill/>
              <a:prstDash val="solid"/>
            </a:ln>
          </spPr>
          <marker>
            <symbol val="circle"/>
            <size val="5"/>
            <spPr>
              <a:solidFill xmlns:a="http://schemas.openxmlformats.org/drawingml/2006/main">
                <a:srgbClr val="006100"/>
              </a:solidFill>
              <a:ln xmlns:a="http://schemas.openxmlformats.org/drawingml/2006/main">
                <a:prstDash val="solid"/>
              </a:ln>
            </spPr>
          </marker>
          <xVal>
            <numRef>
              <f>'_ChartData'!$A$279:$A$358</f>
            </numRef>
          </xVal>
          <yVal>
            <numRef>
              <f>'_ChartData'!$B$279:$B$358</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Expense Ratio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Composite Score</a:t>
                </a:r>
              </a:p>
            </rich>
          </tx>
        </title>
        <majorTickMark val="none"/>
        <minorTickMark val="none"/>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Score Decomposition: Top 9 Funds (Weighted)</a:t>
            </a:r>
          </a:p>
        </rich>
      </tx>
    </title>
    <plotArea>
      <barChart>
        <barDir val="bar"/>
        <grouping val="stacked"/>
        <ser>
          <idx val="0"/>
          <order val="0"/>
          <tx>
            <strRef>
              <f>'_ChartData'!B360</f>
            </strRef>
          </tx>
          <spPr>
            <a:solidFill xmlns:a="http://schemas.openxmlformats.org/drawingml/2006/main">
              <a:srgbClr val="1F4E79"/>
            </a:solidFill>
            <a:ln xmlns:a="http://schemas.openxmlformats.org/drawingml/2006/main">
              <a:prstDash val="solid"/>
            </a:ln>
          </spPr>
          <cat>
            <numRef>
              <f>'_ChartData'!$A$361:$A$369</f>
            </numRef>
          </cat>
          <val>
            <numRef>
              <f>'_ChartData'!$B$361:$B$369</f>
            </numRef>
          </val>
        </ser>
        <ser>
          <idx val="1"/>
          <order val="1"/>
          <tx>
            <strRef>
              <f>'_ChartData'!C360</f>
            </strRef>
          </tx>
          <spPr>
            <a:solidFill xmlns:a="http://schemas.openxmlformats.org/drawingml/2006/main">
              <a:srgbClr val="2E75B6"/>
            </a:solidFill>
            <a:ln xmlns:a="http://schemas.openxmlformats.org/drawingml/2006/main">
              <a:prstDash val="solid"/>
            </a:ln>
          </spPr>
          <cat>
            <numRef>
              <f>'_ChartData'!$A$361:$A$369</f>
            </numRef>
          </cat>
          <val>
            <numRef>
              <f>'_ChartData'!$C$361:$C$369</f>
            </numRef>
          </val>
        </ser>
        <ser>
          <idx val="2"/>
          <order val="2"/>
          <tx>
            <strRef>
              <f>'_ChartData'!D360</f>
            </strRef>
          </tx>
          <spPr>
            <a:solidFill xmlns:a="http://schemas.openxmlformats.org/drawingml/2006/main">
              <a:srgbClr val="F4B942"/>
            </a:solidFill>
            <a:ln xmlns:a="http://schemas.openxmlformats.org/drawingml/2006/main">
              <a:prstDash val="solid"/>
            </a:ln>
          </spPr>
          <cat>
            <numRef>
              <f>'_ChartData'!$A$361:$A$369</f>
            </numRef>
          </cat>
          <val>
            <numRef>
              <f>'_ChartData'!$D$361:$D$369</f>
            </numRef>
          </val>
        </ser>
        <ser>
          <idx val="3"/>
          <order val="3"/>
          <tx>
            <strRef>
              <f>'_ChartData'!E360</f>
            </strRef>
          </tx>
          <spPr>
            <a:solidFill xmlns:a="http://schemas.openxmlformats.org/drawingml/2006/main">
              <a:srgbClr val="CC3333"/>
            </a:solidFill>
            <a:ln xmlns:a="http://schemas.openxmlformats.org/drawingml/2006/main">
              <a:prstDash val="solid"/>
            </a:ln>
          </spPr>
          <cat>
            <numRef>
              <f>'_ChartData'!$A$361:$A$369</f>
            </numRef>
          </cat>
          <val>
            <numRef>
              <f>'_ChartData'!$E$361:$E$369</f>
            </numRef>
          </val>
        </ser>
        <ser>
          <idx val="4"/>
          <order val="4"/>
          <tx>
            <strRef>
              <f>'_ChartData'!F360</f>
            </strRef>
          </tx>
          <spPr>
            <a:solidFill xmlns:a="http://schemas.openxmlformats.org/drawingml/2006/main">
              <a:srgbClr val="999999"/>
            </a:solidFill>
            <a:ln xmlns:a="http://schemas.openxmlformats.org/drawingml/2006/main">
              <a:prstDash val="solid"/>
            </a:ln>
          </spPr>
          <cat>
            <numRef>
              <f>'_ChartData'!$A$361:$A$369</f>
            </numRef>
          </cat>
          <val>
            <numRef>
              <f>'_ChartData'!$F$361:$F$369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Weighted Score Contribution</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Beta Distribution Across Universe</a:t>
            </a:r>
          </a:p>
        </rich>
      </tx>
    </title>
    <plotArea>
      <barChart>
        <barDir val="col"/>
        <grouping val="clustered"/>
        <ser>
          <idx val="0"/>
          <order val="0"/>
          <tx>
            <strRef>
              <f>'_ChartData'!B379</f>
            </strRef>
          </tx>
          <spPr>
            <a:solidFill xmlns:a="http://schemas.openxmlformats.org/drawingml/2006/main">
              <a:srgbClr val="7B1FA2"/>
            </a:solidFill>
            <a:ln xmlns:a="http://schemas.openxmlformats.org/drawingml/2006/main">
              <a:prstDash val="solid"/>
            </a:ln>
          </spPr>
          <cat>
            <numRef>
              <f>'_ChartData'!$A$380:$A$384</f>
            </numRef>
          </cat>
          <val>
            <numRef>
              <f>'_ChartData'!$B$380:$B$384</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Beta Range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Number of Funds</a:t>
                </a:r>
              </a:p>
            </rich>
          </tx>
        </title>
        <majorTickMark val="none"/>
        <minorTickMark val="none"/>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Category Sharpe Ratio: Avg / Best / Worst</a:t>
            </a:r>
          </a:p>
        </rich>
      </tx>
    </title>
    <plotArea>
      <barChart>
        <barDir val="col"/>
        <grouping val="clustered"/>
        <ser>
          <idx val="0"/>
          <order val="0"/>
          <tx>
            <strRef>
              <f>'_ChartData'!B372</f>
            </strRef>
          </tx>
          <spPr>
            <a:solidFill xmlns:a="http://schemas.openxmlformats.org/drawingml/2006/main">
              <a:srgbClr val="2E75B6"/>
            </a:solidFill>
            <a:ln xmlns:a="http://schemas.openxmlformats.org/drawingml/2006/main">
              <a:prstDash val="solid"/>
            </a:ln>
          </spPr>
          <cat>
            <numRef>
              <f>'_ChartData'!$A$373:$A$376</f>
            </numRef>
          </cat>
          <val>
            <numRef>
              <f>'_ChartData'!$B$373:$B$376</f>
            </numRef>
          </val>
        </ser>
        <ser>
          <idx val="1"/>
          <order val="1"/>
          <tx>
            <strRef>
              <f>'_ChartData'!C372</f>
            </strRef>
          </tx>
          <spPr>
            <a:solidFill xmlns:a="http://schemas.openxmlformats.org/drawingml/2006/main">
              <a:srgbClr val="339933"/>
            </a:solidFill>
            <a:ln xmlns:a="http://schemas.openxmlformats.org/drawingml/2006/main">
              <a:prstDash val="solid"/>
            </a:ln>
          </spPr>
          <cat>
            <numRef>
              <f>'_ChartData'!$A$373:$A$376</f>
            </numRef>
          </cat>
          <val>
            <numRef>
              <f>'_ChartData'!$C$373:$C$376</f>
            </numRef>
          </val>
        </ser>
        <ser>
          <idx val="2"/>
          <order val="2"/>
          <tx>
            <strRef>
              <f>'_ChartData'!D372</f>
            </strRef>
          </tx>
          <spPr>
            <a:solidFill xmlns:a="http://schemas.openxmlformats.org/drawingml/2006/main">
              <a:srgbClr val="CC3333"/>
            </a:solidFill>
            <a:ln xmlns:a="http://schemas.openxmlformats.org/drawingml/2006/main">
              <a:prstDash val="solid"/>
            </a:ln>
          </spPr>
          <cat>
            <numRef>
              <f>'_ChartData'!$A$373:$A$376</f>
            </numRef>
          </cat>
          <val>
            <numRef>
              <f>'_ChartData'!$D$373:$D$376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Sharpe Ratio</a:t>
                </a:r>
              </a:p>
            </rich>
          </tx>
        </title>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AUM vs Composite Score (Size-Quality)</a:t>
            </a:r>
          </a:p>
        </rich>
      </tx>
    </title>
    <plotArea>
      <scatterChart>
        <ser>
          <idx val="0"/>
          <order val="0"/>
          <tx>
            <v>Funds</v>
          </tx>
          <spPr>
            <a:ln xmlns:a="http://schemas.openxmlformats.org/drawingml/2006/main">
              <a:noFill/>
              <a:prstDash val="solid"/>
            </a:ln>
          </spPr>
          <marker>
            <symbol val="triangle"/>
            <size val="5"/>
            <spPr>
              <a:solidFill xmlns:a="http://schemas.openxmlformats.org/drawingml/2006/main">
                <a:srgbClr val="1F4E79"/>
              </a:solidFill>
              <a:ln xmlns:a="http://schemas.openxmlformats.org/drawingml/2006/main">
                <a:prstDash val="solid"/>
              </a:ln>
            </spPr>
          </marker>
          <xVal>
            <numRef>
              <f>'_ChartData'!$A$388:$A$467</f>
            </numRef>
          </xVal>
          <yVal>
            <numRef>
              <f>'_ChartData'!$B$388:$B$467</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AUM (Cr)</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Composite Score</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Mandavkar Research</author>
  </authors>
  <commentList>
    <comment ref="E5" authorId="0" shapeId="0">
      <text>
        <t>Alpha Score (25%): 50% 3Y alpha + 30% 5Y alpha + 20% rolling alpha. Within-category percentile.</t>
      </text>
    </comment>
    <comment ref="F5" authorId="0" shapeId="0">
      <text>
        <t>Risk-Adjusted (25%): 40% Sharpe + 40% Sortino + 20% Information Ratio.</t>
      </text>
    </comment>
    <comment ref="G5" authorId="0" shapeId="0">
      <text>
        <t>Consistency (25%): 50% Capture Spread + 50% Rolling Consistency.</t>
      </text>
    </comment>
    <comment ref="H5" authorId="0" shapeId="0">
      <text>
        <t>Downside (20%): 100% Down Capture (inverted). Lower = better.</t>
      </text>
    </comment>
    <comment ref="I5" authorId="0" shapeId="0">
      <text>
        <t>Cost (5%): Expense ratio. Lower = better. Intentionally low weight.</t>
      </text>
    </comment>
    <comment ref="T5" authorId="0" shapeId="0">
      <text>
        <t>ER Spread = Regular ER minus Direct ER. Represents distributor commission.</t>
      </text>
    </comment>
    <comment ref="U5" authorId="0" shapeId="0">
      <text>
        <t>Qualitative overlay score out of 10 (from Deep Dive sheet). Fill after practitioner review.</t>
      </text>
    </comment>
  </commentList>
</comments>
</file>

<file path=xl/comments/comment2.xml><?xml version="1.0" encoding="utf-8"?>
<comments xmlns="http://schemas.openxmlformats.org/spreadsheetml/2006/main">
  <authors>
    <author>Mandavkar Research</author>
  </authors>
  <commentList>
    <comment ref="F4" authorId="0" shapeId="0">
      <text>
        <t>ER Spread = Regular Plan ER minus Direct Plan ER. Represents distributor commission embedded in the expense ratio. Data from ACE MF.</t>
      </text>
    </comment>
    <comment ref="G4" authorId="0" shapeId="0">
      <text>
        <t>Is the ER spread justified by the fund's alpha generation? YES if 3Y rolling alpha &gt; ER spread.</t>
      </text>
    </comment>
    <comment ref="H4" authorId="0" shapeId="0">
      <text>
        <t>Fund Manager track record, experience, tenure, and investment philosophy. Rate the calibre and stability of the management team.</t>
      </text>
    </comment>
    <comment ref="I4" authorId="0" shapeId="0">
      <text>
        <t>H = High (single FM, no succession), M = Medium (co-managers but dominant figure), L = Low (team-managed or smooth succession history).</t>
      </text>
    </comment>
    <comment ref="J4" authorId="0" shapeId="0">
      <text>
        <t>Is AUM becoming too large for the fund's strategy? Especially relevant for mid/small cap funds where large AUM constrains stock selection.</t>
      </text>
    </comment>
    <comment ref="K4" authorId="0" shapeId="0">
      <text>
        <t>Risk of the fund deviating from its stated mandate or historical investment style. Check market cap drift, sector concentration changes.</t>
      </text>
    </comment>
    <comment ref="L4" authorId="0" shapeId="0">
      <text>
        <t>Which client profile suits this fund? Conservative/Moderate/Aggressive. Horizon requirements. Any specific exclusions.</t>
      </text>
    </comment>
    <comment ref="M4" authorId="0" shapeId="0">
      <text>
        <t>Composite qualitative score out of 10, matching dossier dimensions: Return Consistency (2.5), Risk Quality (2.0), Portfolio Quality (1.5), Trail Attractiveness (1.5), Manager Quality (1.0), MW4M/Platform (1.5). Fill manually after review.</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 Type="http://schemas.openxmlformats.org/officeDocument/2006/relationships/chart" Target="/xl/charts/chart12.xml" Id="rId12"/></Relationships>
</file>

<file path=xl/drawings/drawing1.xml><?xml version="1.0" encoding="utf-8"?>
<wsDr xmlns="http://schemas.openxmlformats.org/drawingml/2006/spreadsheetDrawing">
  <oneCellAnchor>
    <from>
      <col>0</col>
      <colOff>0</colOff>
      <row>2</row>
      <rowOff>0</rowOff>
    </from>
    <ext cx="50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row>
      <rowOff>0</rowOff>
    </from>
    <ext cx="504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20</row>
      <rowOff>0</rowOff>
    </from>
    <ext cx="504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8</col>
      <colOff>0</colOff>
      <row>20</row>
      <rowOff>0</rowOff>
    </from>
    <ext cx="50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38</row>
      <rowOff>0</rowOff>
    </from>
    <ext cx="5040000" cy="39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8</col>
      <colOff>0</colOff>
      <row>38</row>
      <rowOff>0</rowOff>
    </from>
    <ext cx="5040000" cy="396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56</row>
      <rowOff>0</rowOff>
    </from>
    <ext cx="5040000" cy="3960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oneCellAnchor>
    <from>
      <col>8</col>
      <colOff>0</colOff>
      <row>56</row>
      <rowOff>0</rowOff>
    </from>
    <ext cx="5040000" cy="3960000"/>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oneCellAnchor>
  <oneCellAnchor>
    <from>
      <col>0</col>
      <colOff>0</colOff>
      <row>74</row>
      <rowOff>0</rowOff>
    </from>
    <ext cx="5040000" cy="4680000"/>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oneCellAnchor>
  <oneCellAnchor>
    <from>
      <col>8</col>
      <colOff>0</colOff>
      <row>74</row>
      <rowOff>0</rowOff>
    </from>
    <ext cx="5040000" cy="3960000"/>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oneCellAnchor>
  <oneCellAnchor>
    <from>
      <col>0</col>
      <colOff>0</colOff>
      <row>92</row>
      <rowOff>0</rowOff>
    </from>
    <ext cx="5040000" cy="3960000"/>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oneCellAnchor>
  <oneCellAnchor>
    <from>
      <col>8</col>
      <colOff>0</colOff>
      <row>92</row>
      <rowOff>0</rowOff>
    </from>
    <ext cx="5040000" cy="3960000"/>
    <graphicFrame>
      <nvGraphicFramePr>
        <cNvPr id="12" name="Chart 1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1F4E79"/>
    <outlinePr summaryBelow="1" summaryRight="1"/>
    <pageSetUpPr/>
  </sheetPr>
  <dimension ref="A1:L35"/>
  <sheetViews>
    <sheetView workbookViewId="0">
      <selection activeCell="A1" sqref="A1"/>
    </sheetView>
  </sheetViews>
  <sheetFormatPr baseColWidth="8" defaultRowHeight="15"/>
  <cols>
    <col width="16" customWidth="1" min="1" max="1"/>
    <col width="28" customWidth="1" min="2" max="2"/>
    <col width="10" customWidth="1" min="3" max="3"/>
    <col width="12" customWidth="1" min="4" max="4"/>
    <col width="12" customWidth="1" min="5" max="5"/>
    <col width="10" customWidth="1" min="6" max="6"/>
    <col width="10" customWidth="1" min="7" max="7"/>
    <col width="14" customWidth="1" min="8" max="8"/>
    <col width="14" customWidth="1" min="9" max="9"/>
    <col width="14" customWidth="1" min="10" max="10"/>
    <col width="18" customWidth="1" min="11" max="11"/>
    <col width="32" customWidth="1" min="12" max="12"/>
  </cols>
  <sheetData>
    <row r="1" ht="30" customHeight="1">
      <c r="A1" s="1" t="inlineStr">
        <is>
          <t>EQUITY FUND SCREENING MODEL — Regular Plans | March 2026</t>
        </is>
      </c>
    </row>
    <row r="2" ht="20" customHeight="1">
      <c r="A2" s="2" t="inlineStr">
        <is>
          <t>Sources: ACE MF (Accord Fintech) | Mandavkar Equity Research | Scoring: Alpha (25%) + Risk-Adj (25%) + Consistency (25%) + Downside (20%) + Cost (5%)</t>
        </is>
      </c>
    </row>
    <row r="4" ht="30" customHeight="1">
      <c r="A4" s="3" t="inlineStr">
        <is>
          <t>SUMMARY STATISTICS</t>
        </is>
      </c>
      <c r="B4" s="31" t="n"/>
      <c r="C4" s="31" t="n"/>
      <c r="D4" s="31" t="n"/>
      <c r="E4" s="31" t="n"/>
      <c r="F4" s="31" t="n"/>
      <c r="G4" s="31" t="n"/>
      <c r="H4" s="31" t="n"/>
      <c r="I4" s="31" t="n"/>
      <c r="J4" s="31" t="n"/>
      <c r="K4" s="31" t="n"/>
      <c r="L4" s="32" t="n"/>
    </row>
    <row r="5" ht="30" customHeight="1">
      <c r="A5" s="4" t="inlineStr">
        <is>
          <t>Universe</t>
        </is>
      </c>
      <c r="B5" s="4" t="inlineStr">
        <is>
          <t>Passed Gates</t>
        </is>
      </c>
      <c r="C5" s="4" t="inlineStr">
        <is>
          <t>Strong Buy</t>
        </is>
      </c>
      <c r="D5" s="4" t="inlineStr">
        <is>
          <t>Buy</t>
        </is>
      </c>
      <c r="E5" s="4" t="inlineStr">
        <is>
          <t>Hold</t>
        </is>
      </c>
      <c r="F5" s="4" t="inlineStr">
        <is>
          <t>Underweight</t>
        </is>
      </c>
      <c r="G5" s="4" t="inlineStr">
        <is>
          <t>Avoid</t>
        </is>
      </c>
      <c r="H5" s="4" t="inlineStr">
        <is>
          <t>Categories</t>
        </is>
      </c>
      <c r="I5" s="4" t="inlineStr">
        <is>
          <t>Avg Score</t>
        </is>
      </c>
      <c r="J5" s="4" t="inlineStr">
        <is>
          <t>Median Score</t>
        </is>
      </c>
      <c r="K5" s="4" t="inlineStr">
        <is>
          <t>Best Score</t>
        </is>
      </c>
      <c r="L5" s="4" t="inlineStr">
        <is>
          <t>Worst Score</t>
        </is>
      </c>
    </row>
    <row r="6" ht="30" customHeight="1">
      <c r="A6" s="5" t="n">
        <v>133</v>
      </c>
      <c r="B6" s="5" t="n">
        <v>80</v>
      </c>
      <c r="C6" s="5" t="n">
        <v>9</v>
      </c>
      <c r="D6" s="5" t="n">
        <v>12</v>
      </c>
      <c r="E6" s="5" t="n">
        <v>17</v>
      </c>
      <c r="F6" s="5" t="n">
        <v>21</v>
      </c>
      <c r="G6" s="5" t="n">
        <v>21</v>
      </c>
      <c r="H6" s="5" t="n">
        <v>4</v>
      </c>
      <c r="I6" s="5" t="n">
        <v>49.9</v>
      </c>
      <c r="J6" s="5" t="n">
        <v>47.6</v>
      </c>
      <c r="K6" s="5" t="n">
        <v>92.5</v>
      </c>
      <c r="L6" s="5" t="n">
        <v>14.7</v>
      </c>
    </row>
    <row r="8" ht="30" customHeight="1">
      <c r="A8" s="3" t="inlineStr">
        <is>
          <t>TOP PICKS BY CATEGORY</t>
        </is>
      </c>
      <c r="B8" s="31" t="n"/>
      <c r="C8" s="31" t="n"/>
      <c r="D8" s="31" t="n"/>
      <c r="E8" s="31" t="n"/>
      <c r="F8" s="31" t="n"/>
      <c r="G8" s="31" t="n"/>
      <c r="H8" s="31" t="n"/>
      <c r="I8" s="31" t="n"/>
      <c r="J8" s="31" t="n"/>
      <c r="K8" s="31" t="n"/>
      <c r="L8" s="32" t="n"/>
    </row>
    <row r="9" ht="30" customHeight="1">
      <c r="A9" s="4" t="inlineStr">
        <is>
          <t>Category</t>
        </is>
      </c>
      <c r="B9" s="4" t="inlineStr">
        <is>
          <t>Top Pick</t>
        </is>
      </c>
      <c r="C9" s="4" t="inlineStr">
        <is>
          <t>Score</t>
        </is>
      </c>
      <c r="D9" s="4" t="inlineStr">
        <is>
          <t>Rating</t>
        </is>
      </c>
      <c r="E9" s="4" t="inlineStr">
        <is>
          <t>Alpha 3Y</t>
        </is>
      </c>
      <c r="F9" s="4" t="inlineStr">
        <is>
          <t>Sharpe</t>
        </is>
      </c>
      <c r="G9" s="4" t="inlineStr">
        <is>
          <t>Sortino</t>
        </is>
      </c>
      <c r="H9" s="4" t="inlineStr">
        <is>
          <t>Down Capture</t>
        </is>
      </c>
      <c r="I9" s="4" t="inlineStr">
        <is>
          <t>Expense Ratio</t>
        </is>
      </c>
      <c r="J9" s="4" t="inlineStr">
        <is>
          <t>AUM (Cr)</t>
        </is>
      </c>
      <c r="K9" s="4" t="inlineStr">
        <is>
          <t>Fund Manager</t>
        </is>
      </c>
      <c r="L9" s="4" t="inlineStr">
        <is>
          <t>Key Strength</t>
        </is>
      </c>
    </row>
    <row r="10" ht="30" customHeight="1">
      <c r="A10" s="6" t="inlineStr">
        <is>
          <t>Large Cap</t>
        </is>
      </c>
      <c r="B10" s="7" t="inlineStr">
        <is>
          <t>DSP Large Cap Fund</t>
        </is>
      </c>
      <c r="C10" s="8" t="n">
        <v>92.5</v>
      </c>
      <c r="D10" s="9" t="inlineStr">
        <is>
          <t>Strong Buy</t>
        </is>
      </c>
      <c r="E10" s="10" t="inlineStr">
        <is>
          <t>+3.96%</t>
        </is>
      </c>
      <c r="F10" s="8" t="inlineStr">
        <is>
          <t>0.33</t>
        </is>
      </c>
      <c r="G10" s="8" t="inlineStr">
        <is>
          <t>0.63</t>
        </is>
      </c>
      <c r="H10" s="8" t="inlineStr">
        <is>
          <t>76.0</t>
        </is>
      </c>
      <c r="I10" s="8" t="inlineStr">
        <is>
          <t>1.82%</t>
        </is>
      </c>
      <c r="J10" s="8" t="inlineStr">
        <is>
          <t>7,270</t>
        </is>
      </c>
      <c r="K10" s="11" t="inlineStr">
        <is>
          <t>Abhishek Singh</t>
        </is>
      </c>
      <c r="L10" s="11" t="inlineStr">
        <is>
          <t>Lowest down-capture (76.0) + highest alpha in category</t>
        </is>
      </c>
    </row>
    <row r="11" ht="30" customHeight="1">
      <c r="A11" s="12" t="inlineStr">
        <is>
          <t>Flexi Cap</t>
        </is>
      </c>
      <c r="B11" s="13" t="inlineStr">
        <is>
          <t>Aditya Birla SL Flexi Cap Fund</t>
        </is>
      </c>
      <c r="C11" s="14" t="n">
        <v>88.09999999999999</v>
      </c>
      <c r="D11" s="9" t="inlineStr">
        <is>
          <t>Strong Buy</t>
        </is>
      </c>
      <c r="E11" s="15" t="inlineStr">
        <is>
          <t>+1.85%</t>
        </is>
      </c>
      <c r="F11" s="14" t="inlineStr">
        <is>
          <t>0.32</t>
        </is>
      </c>
      <c r="G11" s="14" t="inlineStr">
        <is>
          <t>0.61</t>
        </is>
      </c>
      <c r="H11" s="14" t="inlineStr">
        <is>
          <t>88.0</t>
        </is>
      </c>
      <c r="I11" s="14" t="inlineStr">
        <is>
          <t>1.65%</t>
        </is>
      </c>
      <c r="J11" s="14" t="inlineStr">
        <is>
          <t>25,207</t>
        </is>
      </c>
      <c r="K11" s="16" t="inlineStr">
        <is>
          <t>Harish krishnan</t>
        </is>
      </c>
      <c r="L11" s="16" t="inlineStr">
        <is>
          <t>Balanced risk/return, low beta (0.94), consistent</t>
        </is>
      </c>
    </row>
    <row r="12" ht="30" customHeight="1">
      <c r="A12" s="6" t="inlineStr">
        <is>
          <t>Mid Cap</t>
        </is>
      </c>
      <c r="B12" s="7" t="inlineStr">
        <is>
          <t>ICICI Pru Midcap Fund</t>
        </is>
      </c>
      <c r="C12" s="8" t="n">
        <v>88.90000000000001</v>
      </c>
      <c r="D12" s="9" t="inlineStr">
        <is>
          <t>Strong Buy</t>
        </is>
      </c>
      <c r="E12" s="10" t="inlineStr">
        <is>
          <t>+1.62%</t>
        </is>
      </c>
      <c r="F12" s="8" t="inlineStr">
        <is>
          <t>0.37</t>
        </is>
      </c>
      <c r="G12" s="8" t="inlineStr">
        <is>
          <t>0.74</t>
        </is>
      </c>
      <c r="H12" s="8" t="inlineStr">
        <is>
          <t>90.1</t>
        </is>
      </c>
      <c r="I12" s="8" t="inlineStr">
        <is>
          <t>1.85%</t>
        </is>
      </c>
      <c r="J12" s="8" t="inlineStr">
        <is>
          <t>7,280</t>
        </is>
      </c>
      <c r="K12" s="11" t="inlineStr">
        <is>
          <t>Lalit Kumar</t>
        </is>
      </c>
      <c r="L12" s="11" t="inlineStr">
        <is>
          <t>Best Sharpe/Sortino in mid-cap space</t>
        </is>
      </c>
    </row>
    <row r="13" ht="30" customHeight="1">
      <c r="A13" s="12" t="inlineStr">
        <is>
          <t>Small Cap</t>
        </is>
      </c>
      <c r="B13" s="13" t="inlineStr">
        <is>
          <t>ITI Small Cap Fund</t>
        </is>
      </c>
      <c r="C13" s="14" t="n">
        <v>84.90000000000001</v>
      </c>
      <c r="D13" s="9" t="inlineStr">
        <is>
          <t>Strong Buy</t>
        </is>
      </c>
      <c r="E13" s="15" t="inlineStr">
        <is>
          <t>+2.45%</t>
        </is>
      </c>
      <c r="F13" s="14" t="inlineStr">
        <is>
          <t>0.31</t>
        </is>
      </c>
      <c r="G13" s="14" t="inlineStr">
        <is>
          <t>0.57</t>
        </is>
      </c>
      <c r="H13" s="14" t="inlineStr">
        <is>
          <t>78.3</t>
        </is>
      </c>
      <c r="I13" s="14" t="inlineStr">
        <is>
          <t>1.86%</t>
        </is>
      </c>
      <c r="J13" s="14" t="inlineStr">
        <is>
          <t>2,712</t>
        </is>
      </c>
      <c r="K13" s="16" t="inlineStr">
        <is>
          <t>Dhimant Shah</t>
        </is>
      </c>
      <c r="L13" s="16" t="inlineStr">
        <is>
          <t>Only positive-alpha small cap + strong defence</t>
        </is>
      </c>
    </row>
    <row r="15" ht="30" customHeight="1">
      <c r="A15" s="3" t="inlineStr">
        <is>
          <t>RATING DISTRIBUTION</t>
        </is>
      </c>
      <c r="B15" s="31" t="n"/>
      <c r="C15" s="31" t="n"/>
      <c r="D15" s="31" t="n"/>
      <c r="E15" s="31" t="n"/>
      <c r="F15" s="31" t="n"/>
      <c r="G15" s="31" t="n"/>
      <c r="H15" s="31" t="n"/>
      <c r="I15" s="31" t="n"/>
      <c r="J15" s="31" t="n"/>
      <c r="K15" s="31" t="n"/>
      <c r="L15" s="32" t="n"/>
    </row>
    <row r="16" ht="30" customHeight="1">
      <c r="A16" s="4" t="inlineStr">
        <is>
          <t>Rating</t>
        </is>
      </c>
      <c r="B16" s="4" t="inlineStr">
        <is>
          <t>Count</t>
        </is>
      </c>
      <c r="C16" s="4" t="inlineStr">
        <is>
          <t>% of Total</t>
        </is>
      </c>
      <c r="D16" s="4" t="inlineStr">
        <is>
          <t>Avg Score</t>
        </is>
      </c>
      <c r="E16" s="4" t="inlineStr">
        <is>
          <t>Avg Alpha 3Y</t>
        </is>
      </c>
      <c r="F16" s="4" t="inlineStr">
        <is>
          <t>Avg Sharpe</t>
        </is>
      </c>
      <c r="G16" s="4" t="inlineStr">
        <is>
          <t>Avg Sortino</t>
        </is>
      </c>
      <c r="H16" s="4" t="inlineStr">
        <is>
          <t>Avg Down Capture</t>
        </is>
      </c>
      <c r="I16" s="4" t="inlineStr">
        <is>
          <t>Avg Up Capture</t>
        </is>
      </c>
      <c r="J16" s="4" t="inlineStr">
        <is>
          <t>Avg Beta</t>
        </is>
      </c>
      <c r="K16" s="4" t="inlineStr">
        <is>
          <t>Avg Expense</t>
        </is>
      </c>
      <c r="L16" s="4" t="inlineStr">
        <is>
          <t>Avg AUM</t>
        </is>
      </c>
    </row>
    <row r="17" ht="30" customHeight="1">
      <c r="A17" s="9" t="inlineStr">
        <is>
          <t>Strong Buy</t>
        </is>
      </c>
      <c r="B17" s="14" t="n">
        <v>9</v>
      </c>
      <c r="C17" s="14" t="inlineStr">
        <is>
          <t>11.2%</t>
        </is>
      </c>
      <c r="D17" s="14" t="inlineStr">
        <is>
          <t>85.9</t>
        </is>
      </c>
      <c r="E17" s="14" t="inlineStr">
        <is>
          <t>+1.49%</t>
        </is>
      </c>
      <c r="F17" s="14" t="inlineStr">
        <is>
          <t>0.33</t>
        </is>
      </c>
      <c r="G17" s="14" t="inlineStr">
        <is>
          <t>0.62</t>
        </is>
      </c>
      <c r="H17" s="14" t="inlineStr">
        <is>
          <t>84.6</t>
        </is>
      </c>
      <c r="I17" s="14" t="inlineStr">
        <is>
          <t>97.7</t>
        </is>
      </c>
      <c r="J17" s="14" t="inlineStr">
        <is>
          <t>0.92</t>
        </is>
      </c>
      <c r="K17" s="14" t="inlineStr">
        <is>
          <t>1.72%</t>
        </is>
      </c>
      <c r="L17" s="14" t="inlineStr">
        <is>
          <t>19,177</t>
        </is>
      </c>
    </row>
    <row r="18" ht="30" customHeight="1">
      <c r="A18" s="17" t="inlineStr">
        <is>
          <t>Buy</t>
        </is>
      </c>
      <c r="B18" s="8" t="n">
        <v>12</v>
      </c>
      <c r="C18" s="8" t="inlineStr">
        <is>
          <t>15.0%</t>
        </is>
      </c>
      <c r="D18" s="8" t="inlineStr">
        <is>
          <t>69.2</t>
        </is>
      </c>
      <c r="E18" s="8" t="inlineStr">
        <is>
          <t>+0.17%</t>
        </is>
      </c>
      <c r="F18" s="8" t="inlineStr">
        <is>
          <t>0.32</t>
        </is>
      </c>
      <c r="G18" s="8" t="inlineStr">
        <is>
          <t>0.58</t>
        </is>
      </c>
      <c r="H18" s="8" t="inlineStr">
        <is>
          <t>92.9</t>
        </is>
      </c>
      <c r="I18" s="8" t="inlineStr">
        <is>
          <t>105.0</t>
        </is>
      </c>
      <c r="J18" s="8" t="inlineStr">
        <is>
          <t>0.97</t>
        </is>
      </c>
      <c r="K18" s="8" t="inlineStr">
        <is>
          <t>1.83%</t>
        </is>
      </c>
      <c r="L18" s="8" t="inlineStr">
        <is>
          <t>11,238</t>
        </is>
      </c>
    </row>
    <row r="19" ht="30" customHeight="1">
      <c r="A19" s="18" t="inlineStr">
        <is>
          <t>Hold</t>
        </is>
      </c>
      <c r="B19" s="14" t="n">
        <v>17</v>
      </c>
      <c r="C19" s="14" t="inlineStr">
        <is>
          <t>21.2%</t>
        </is>
      </c>
      <c r="D19" s="14" t="inlineStr">
        <is>
          <t>57.6</t>
        </is>
      </c>
      <c r="E19" s="14" t="inlineStr">
        <is>
          <t>-1.72%</t>
        </is>
      </c>
      <c r="F19" s="14" t="inlineStr">
        <is>
          <t>0.29</t>
        </is>
      </c>
      <c r="G19" s="14" t="inlineStr">
        <is>
          <t>0.53</t>
        </is>
      </c>
      <c r="H19" s="14" t="inlineStr">
        <is>
          <t>99.2</t>
        </is>
      </c>
      <c r="I19" s="14" t="inlineStr">
        <is>
          <t>110.5</t>
        </is>
      </c>
      <c r="J19" s="14" t="inlineStr">
        <is>
          <t>1.00</t>
        </is>
      </c>
      <c r="K19" s="14" t="inlineStr">
        <is>
          <t>1.81%</t>
        </is>
      </c>
      <c r="L19" s="14" t="inlineStr">
        <is>
          <t>8,143</t>
        </is>
      </c>
    </row>
    <row r="20" ht="30" customHeight="1">
      <c r="A20" s="19" t="inlineStr">
        <is>
          <t>Underweight</t>
        </is>
      </c>
      <c r="B20" s="8" t="n">
        <v>21</v>
      </c>
      <c r="C20" s="8" t="inlineStr">
        <is>
          <t>26.2%</t>
        </is>
      </c>
      <c r="D20" s="8" t="inlineStr">
        <is>
          <t>42.2</t>
        </is>
      </c>
      <c r="E20" s="8" t="inlineStr">
        <is>
          <t>-3.67%</t>
        </is>
      </c>
      <c r="F20" s="8" t="inlineStr">
        <is>
          <t>0.27</t>
        </is>
      </c>
      <c r="G20" s="8" t="inlineStr">
        <is>
          <t>0.49</t>
        </is>
      </c>
      <c r="H20" s="8" t="inlineStr">
        <is>
          <t>95.6</t>
        </is>
      </c>
      <c r="I20" s="8" t="inlineStr">
        <is>
          <t>97.4</t>
        </is>
      </c>
      <c r="J20" s="8" t="inlineStr">
        <is>
          <t>0.95</t>
        </is>
      </c>
      <c r="K20" s="8" t="inlineStr">
        <is>
          <t>1.82%</t>
        </is>
      </c>
      <c r="L20" s="8" t="inlineStr">
        <is>
          <t>11,811</t>
        </is>
      </c>
    </row>
    <row r="21" ht="30" customHeight="1">
      <c r="A21" s="20" t="inlineStr">
        <is>
          <t>Avoid</t>
        </is>
      </c>
      <c r="B21" s="14" t="n">
        <v>21</v>
      </c>
      <c r="C21" s="14" t="inlineStr">
        <is>
          <t>26.2%</t>
        </is>
      </c>
      <c r="D21" s="14" t="inlineStr">
        <is>
          <t>24.9</t>
        </is>
      </c>
      <c r="E21" s="14" t="inlineStr">
        <is>
          <t>-5.66%</t>
        </is>
      </c>
      <c r="F21" s="14" t="inlineStr">
        <is>
          <t>0.22</t>
        </is>
      </c>
      <c r="G21" s="14" t="inlineStr">
        <is>
          <t>0.40</t>
        </is>
      </c>
      <c r="H21" s="14" t="inlineStr">
        <is>
          <t>100.1</t>
        </is>
      </c>
      <c r="I21" s="14" t="inlineStr">
        <is>
          <t>92.5</t>
        </is>
      </c>
      <c r="J21" s="14" t="inlineStr">
        <is>
          <t>0.94</t>
        </is>
      </c>
      <c r="K21" s="14" t="inlineStr">
        <is>
          <t>1.88%</t>
        </is>
      </c>
      <c r="L21" s="14" t="inlineStr">
        <is>
          <t>10,266</t>
        </is>
      </c>
    </row>
    <row r="23" ht="30" customHeight="1">
      <c r="A23" s="3" t="inlineStr">
        <is>
          <t>CATEGORY STATISTICS</t>
        </is>
      </c>
      <c r="B23" s="31" t="n"/>
      <c r="C23" s="31" t="n"/>
      <c r="D23" s="31" t="n"/>
      <c r="E23" s="31" t="n"/>
      <c r="F23" s="31" t="n"/>
      <c r="G23" s="31" t="n"/>
      <c r="H23" s="31" t="n"/>
      <c r="I23" s="31" t="n"/>
      <c r="J23" s="31" t="n"/>
      <c r="K23" s="31" t="n"/>
      <c r="L23" s="32" t="n"/>
    </row>
    <row r="24" ht="30" customHeight="1">
      <c r="A24" s="4" t="inlineStr">
        <is>
          <t>Category</t>
        </is>
      </c>
      <c r="B24" s="4" t="inlineStr">
        <is>
          <t>Funds</t>
        </is>
      </c>
      <c r="C24" s="4" t="inlineStr">
        <is>
          <t>Avg Score</t>
        </is>
      </c>
      <c r="D24" s="4" t="inlineStr">
        <is>
          <t>Best</t>
        </is>
      </c>
      <c r="E24" s="4" t="inlineStr">
        <is>
          <t>Worst</t>
        </is>
      </c>
      <c r="F24" s="4" t="inlineStr">
        <is>
          <t>Avg Alpha 3Y</t>
        </is>
      </c>
      <c r="G24" s="4" t="inlineStr">
        <is>
          <t>Avg Sharpe</t>
        </is>
      </c>
      <c r="H24" s="4" t="inlineStr">
        <is>
          <t>Avg Down Cap</t>
        </is>
      </c>
      <c r="I24" s="4" t="inlineStr">
        <is>
          <t>Avg Expense</t>
        </is>
      </c>
      <c r="J24" s="4" t="inlineStr">
        <is>
          <t>Avg AUM (Cr)</t>
        </is>
      </c>
      <c r="K24" s="4" t="inlineStr">
        <is>
          <t>Strong Buys</t>
        </is>
      </c>
      <c r="L24" s="4" t="inlineStr">
        <is>
          <t>Avoids</t>
        </is>
      </c>
    </row>
    <row r="25" ht="30" customHeight="1">
      <c r="A25" s="12" t="inlineStr">
        <is>
          <t>Large Cap</t>
        </is>
      </c>
      <c r="B25" s="14" t="n">
        <v>16</v>
      </c>
      <c r="C25" s="14" t="inlineStr">
        <is>
          <t>50.0</t>
        </is>
      </c>
      <c r="D25" s="14" t="inlineStr">
        <is>
          <t>92.5</t>
        </is>
      </c>
      <c r="E25" s="14" t="inlineStr">
        <is>
          <t>15.8</t>
        </is>
      </c>
      <c r="F25" s="14" t="inlineStr">
        <is>
          <t>-1.09%</t>
        </is>
      </c>
      <c r="G25" s="14" t="inlineStr">
        <is>
          <t>0.26</t>
        </is>
      </c>
      <c r="H25" s="14" t="inlineStr">
        <is>
          <t>92.7</t>
        </is>
      </c>
      <c r="I25" s="14" t="inlineStr">
        <is>
          <t>1.71%</t>
        </is>
      </c>
      <c r="J25" s="14" t="inlineStr">
        <is>
          <t>24,571</t>
        </is>
      </c>
      <c r="K25" s="14" t="n">
        <v>2</v>
      </c>
      <c r="L25" s="14" t="n">
        <v>4</v>
      </c>
    </row>
    <row r="26" ht="30" customHeight="1">
      <c r="A26" s="6" t="inlineStr">
        <is>
          <t>Flexi Cap</t>
        </is>
      </c>
      <c r="B26" s="8" t="n">
        <v>27</v>
      </c>
      <c r="C26" s="8" t="inlineStr">
        <is>
          <t>50.0</t>
        </is>
      </c>
      <c r="D26" s="8" t="inlineStr">
        <is>
          <t>88.1</t>
        </is>
      </c>
      <c r="E26" s="8" t="inlineStr">
        <is>
          <t>16.5</t>
        </is>
      </c>
      <c r="F26" s="8" t="inlineStr">
        <is>
          <t>-1.58%</t>
        </is>
      </c>
      <c r="G26" s="8" t="inlineStr">
        <is>
          <t>0.27</t>
        </is>
      </c>
      <c r="H26" s="8" t="inlineStr">
        <is>
          <t>100.9</t>
        </is>
      </c>
      <c r="I26" s="8" t="inlineStr">
        <is>
          <t>1.85%</t>
        </is>
      </c>
      <c r="J26" s="8" t="inlineStr">
        <is>
          <t>8,757</t>
        </is>
      </c>
      <c r="K26" s="8" t="n">
        <v>2</v>
      </c>
      <c r="L26" s="8" t="n">
        <v>7</v>
      </c>
    </row>
    <row r="27" ht="30" customHeight="1">
      <c r="A27" s="12" t="inlineStr">
        <is>
          <t>Mid Cap</t>
        </is>
      </c>
      <c r="B27" s="14" t="n">
        <v>22</v>
      </c>
      <c r="C27" s="14" t="inlineStr">
        <is>
          <t>49.8</t>
        </is>
      </c>
      <c r="D27" s="14" t="inlineStr">
        <is>
          <t>88.9</t>
        </is>
      </c>
      <c r="E27" s="14" t="inlineStr">
        <is>
          <t>15.7</t>
        </is>
      </c>
      <c r="F27" s="14" t="inlineStr">
        <is>
          <t>-3.44%</t>
        </is>
      </c>
      <c r="G27" s="14" t="inlineStr">
        <is>
          <t>0.32</t>
        </is>
      </c>
      <c r="H27" s="14" t="inlineStr">
        <is>
          <t>96.2</t>
        </is>
      </c>
      <c r="I27" s="14" t="inlineStr">
        <is>
          <t>1.83%</t>
        </is>
      </c>
      <c r="J27" s="14" t="inlineStr">
        <is>
          <t>8,848</t>
        </is>
      </c>
      <c r="K27" s="14" t="n">
        <v>3</v>
      </c>
      <c r="L27" s="14" t="n">
        <v>6</v>
      </c>
    </row>
    <row r="28" ht="30" customHeight="1">
      <c r="A28" s="6" t="inlineStr">
        <is>
          <t>Small Cap</t>
        </is>
      </c>
      <c r="B28" s="8" t="n">
        <v>15</v>
      </c>
      <c r="C28" s="8" t="inlineStr">
        <is>
          <t>49.8</t>
        </is>
      </c>
      <c r="D28" s="8" t="inlineStr">
        <is>
          <t>84.9</t>
        </is>
      </c>
      <c r="E28" s="8" t="inlineStr">
        <is>
          <t>14.7</t>
        </is>
      </c>
      <c r="F28" s="8" t="inlineStr">
        <is>
          <t>-4.91%</t>
        </is>
      </c>
      <c r="G28" s="8" t="inlineStr">
        <is>
          <t>0.24</t>
        </is>
      </c>
      <c r="H28" s="8" t="inlineStr">
        <is>
          <t>89.8</t>
        </is>
      </c>
      <c r="I28" s="8" t="inlineStr">
        <is>
          <t>1.89%</t>
        </is>
      </c>
      <c r="J28" s="8" t="inlineStr">
        <is>
          <t>5,685</t>
        </is>
      </c>
      <c r="K28" s="8" t="n">
        <v>2</v>
      </c>
      <c r="L28" s="8" t="n">
        <v>4</v>
      </c>
    </row>
    <row r="30" ht="30" customHeight="1">
      <c r="A30" s="3" t="inlineStr">
        <is>
          <t>KEY INSIGHTS</t>
        </is>
      </c>
      <c r="B30" s="31" t="n"/>
      <c r="C30" s="31" t="n"/>
      <c r="D30" s="31" t="n"/>
      <c r="E30" s="31" t="n"/>
      <c r="F30" s="31" t="n"/>
      <c r="G30" s="31" t="n"/>
      <c r="H30" s="31" t="n"/>
      <c r="I30" s="31" t="n"/>
      <c r="J30" s="31" t="n"/>
      <c r="K30" s="31" t="n"/>
      <c r="L30" s="32" t="n"/>
    </row>
    <row r="31" ht="35" customHeight="1">
      <c r="A31" s="21" t="inlineStr">
        <is>
          <t>Only 23/80 funds (29%) generated positive 3Y alpha vs SEBI benchmarks. Active management is failing most investors.</t>
        </is>
      </c>
    </row>
    <row r="32" ht="35" customHeight="1">
      <c r="A32" s="21" t="inlineStr">
        <is>
          <t>Strong Buy funds avg 84.6 down-capture vs 100.1 for Avoid. Downside protection is the clearest quality differentiator.</t>
        </is>
      </c>
    </row>
    <row r="33" ht="35" customHeight="1">
      <c r="A33" s="21" t="inlineStr">
        <is>
          <t>Mid Cap shows widest dispersion (best 88.9, worst 15.7). Fund selection matters most here.</t>
        </is>
      </c>
    </row>
    <row r="34" ht="35" customHeight="1">
      <c r="A34" s="21" t="inlineStr">
        <is>
          <t>Small Cap: only 1 positive-alpha fund (ITI Small Cap, +2.45%). Category is structurally hard to beat.</t>
        </is>
      </c>
    </row>
    <row r="35" ht="35" customHeight="1">
      <c r="A35" s="21" t="inlineStr">
        <is>
          <t>Expense ratios range 1.40%-2.39% but cost explains only 5% of scoring. Alpha dominates.</t>
        </is>
      </c>
    </row>
  </sheetData>
  <mergeCells count="12">
    <mergeCell ref="A30:L30"/>
    <mergeCell ref="A2:L2"/>
    <mergeCell ref="A15:L15"/>
    <mergeCell ref="A33:L33"/>
    <mergeCell ref="A1:L1"/>
    <mergeCell ref="A23:L23"/>
    <mergeCell ref="A32:L32"/>
    <mergeCell ref="A8:L8"/>
    <mergeCell ref="A31:L31"/>
    <mergeCell ref="A34:L34"/>
    <mergeCell ref="A35:L35"/>
    <mergeCell ref="A4:L4"/>
  </mergeCells>
  <pageMargins left="0.75" right="0.75" top="1" bottom="1" header="0.5" footer="0.5"/>
</worksheet>
</file>

<file path=xl/worksheets/sheet2.xml><?xml version="1.0" encoding="utf-8"?>
<worksheet xmlns="http://schemas.openxmlformats.org/spreadsheetml/2006/main">
  <sheetPr>
    <tabColor rgb="007B1FA2"/>
    <outlinePr summaryBelow="1" summaryRight="1"/>
    <pageSetUpPr/>
  </sheetPr>
  <dimension ref="A1:P92"/>
  <sheetViews>
    <sheetView workbookViewId="0">
      <selection activeCell="A1" sqref="A1"/>
    </sheetView>
  </sheetViews>
  <sheetFormatPr baseColWidth="8" defaultRowHeight="15"/>
  <sheetData>
    <row r="1" ht="30" customHeight="1">
      <c r="A1" s="1" t="inlineStr">
        <is>
          <t>CHARTS &amp; ANALYTICS — Fund Quality, Risk &amp; Scoring Dimensions</t>
        </is>
      </c>
    </row>
    <row r="2" ht="30" customHeight="1">
      <c r="A2" s="3" t="inlineStr">
        <is>
          <t>DISTRIBUTION ANALYSIS</t>
        </is>
      </c>
      <c r="B2" s="31" t="n"/>
      <c r="C2" s="31" t="n"/>
      <c r="D2" s="31" t="n"/>
      <c r="E2" s="31" t="n"/>
      <c r="F2" s="31" t="n"/>
      <c r="G2" s="31" t="n"/>
      <c r="H2" s="31" t="n"/>
      <c r="I2" s="31" t="n"/>
      <c r="J2" s="31" t="n"/>
      <c r="K2" s="31" t="n"/>
      <c r="L2" s="31" t="n"/>
      <c r="M2" s="31" t="n"/>
      <c r="N2" s="31" t="n"/>
      <c r="O2" s="31" t="n"/>
      <c r="P2" s="32" t="n"/>
    </row>
    <row r="20" ht="30" customHeight="1">
      <c r="A20" s="3" t="inlineStr">
        <is>
          <t>SCORE DISTRIBUTION &amp; TOP PERFORMERS</t>
        </is>
      </c>
      <c r="B20" s="31" t="n"/>
      <c r="C20" s="31" t="n"/>
      <c r="D20" s="31" t="n"/>
      <c r="E20" s="31" t="n"/>
      <c r="F20" s="31" t="n"/>
      <c r="G20" s="31" t="n"/>
      <c r="H20" s="31" t="n"/>
      <c r="I20" s="31" t="n"/>
      <c r="J20" s="31" t="n"/>
      <c r="K20" s="31" t="n"/>
      <c r="L20" s="31" t="n"/>
      <c r="M20" s="31" t="n"/>
      <c r="N20" s="31" t="n"/>
      <c r="O20" s="31" t="n"/>
      <c r="P20" s="32" t="n"/>
    </row>
    <row r="38" ht="30" customHeight="1">
      <c r="A38" s="3" t="inlineStr">
        <is>
          <t>RISK-RETURN SCATTER ANALYSIS</t>
        </is>
      </c>
      <c r="B38" s="31" t="n"/>
      <c r="C38" s="31" t="n"/>
      <c r="D38" s="31" t="n"/>
      <c r="E38" s="31" t="n"/>
      <c r="F38" s="31" t="n"/>
      <c r="G38" s="31" t="n"/>
      <c r="H38" s="31" t="n"/>
      <c r="I38" s="31" t="n"/>
      <c r="J38" s="31" t="n"/>
      <c r="K38" s="31" t="n"/>
      <c r="L38" s="31" t="n"/>
      <c r="M38" s="31" t="n"/>
      <c r="N38" s="31" t="n"/>
      <c r="O38" s="31" t="n"/>
      <c r="P38" s="32" t="n"/>
    </row>
    <row r="56" ht="30" customHeight="1">
      <c r="A56" s="3" t="inlineStr">
        <is>
          <t>CAPTURE RATIO &amp; COST EFFICIENCY</t>
        </is>
      </c>
      <c r="B56" s="31" t="n"/>
      <c r="C56" s="31" t="n"/>
      <c r="D56" s="31" t="n"/>
      <c r="E56" s="31" t="n"/>
      <c r="F56" s="31" t="n"/>
      <c r="G56" s="31" t="n"/>
      <c r="H56" s="31" t="n"/>
      <c r="I56" s="31" t="n"/>
      <c r="J56" s="31" t="n"/>
      <c r="K56" s="31" t="n"/>
      <c r="L56" s="31" t="n"/>
      <c r="M56" s="31" t="n"/>
      <c r="N56" s="31" t="n"/>
      <c r="O56" s="31" t="n"/>
      <c r="P56" s="32" t="n"/>
    </row>
    <row r="74" ht="30" customHeight="1">
      <c r="A74" s="3" t="inlineStr">
        <is>
          <t>FACTOR DECOMPOSITION &amp; MARKET SENSITIVITY</t>
        </is>
      </c>
      <c r="B74" s="31" t="n"/>
      <c r="C74" s="31" t="n"/>
      <c r="D74" s="31" t="n"/>
      <c r="E74" s="31" t="n"/>
      <c r="F74" s="31" t="n"/>
      <c r="G74" s="31" t="n"/>
      <c r="H74" s="31" t="n"/>
      <c r="I74" s="31" t="n"/>
      <c r="J74" s="31" t="n"/>
      <c r="K74" s="31" t="n"/>
      <c r="L74" s="31" t="n"/>
      <c r="M74" s="31" t="n"/>
      <c r="N74" s="31" t="n"/>
      <c r="O74" s="31" t="n"/>
      <c r="P74" s="32" t="n"/>
    </row>
    <row r="92" ht="30" customHeight="1">
      <c r="A92" s="3" t="inlineStr">
        <is>
          <t>CATEGORY COMPARISON &amp; SIZE ANALYSIS</t>
        </is>
      </c>
      <c r="B92" s="31" t="n"/>
      <c r="C92" s="31" t="n"/>
      <c r="D92" s="31" t="n"/>
      <c r="E92" s="31" t="n"/>
      <c r="F92" s="31" t="n"/>
      <c r="G92" s="31" t="n"/>
      <c r="H92" s="31" t="n"/>
      <c r="I92" s="31" t="n"/>
      <c r="J92" s="31" t="n"/>
      <c r="K92" s="31" t="n"/>
      <c r="L92" s="31" t="n"/>
      <c r="M92" s="31" t="n"/>
      <c r="N92" s="31" t="n"/>
      <c r="O92" s="31" t="n"/>
      <c r="P92" s="32" t="n"/>
    </row>
  </sheetData>
  <mergeCells count="7">
    <mergeCell ref="A1:P1"/>
    <mergeCell ref="A56:P56"/>
    <mergeCell ref="A74:P74"/>
    <mergeCell ref="A20:P20"/>
    <mergeCell ref="A38:P38"/>
    <mergeCell ref="A92:P92"/>
    <mergeCell ref="A2:P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467"/>
  <sheetViews>
    <sheetView workbookViewId="0">
      <selection activeCell="A1" sqref="A1"/>
    </sheetView>
  </sheetViews>
  <sheetFormatPr baseColWidth="8" defaultRowHeight="15"/>
  <sheetData>
    <row r="1">
      <c r="A1" t="inlineStr">
        <is>
          <t>Rating</t>
        </is>
      </c>
      <c r="B1" t="inlineStr">
        <is>
          <t>Count</t>
        </is>
      </c>
      <c r="D1" t="inlineStr">
        <is>
          <t>Category</t>
        </is>
      </c>
      <c r="E1" t="inlineStr">
        <is>
          <t>Strong Buy</t>
        </is>
      </c>
      <c r="F1" t="inlineStr">
        <is>
          <t>Buy</t>
        </is>
      </c>
      <c r="G1" t="inlineStr">
        <is>
          <t>Hold</t>
        </is>
      </c>
      <c r="H1" t="inlineStr">
        <is>
          <t>Underweight</t>
        </is>
      </c>
      <c r="I1" t="inlineStr">
        <is>
          <t>Avoid</t>
        </is>
      </c>
    </row>
    <row r="2">
      <c r="A2" t="inlineStr">
        <is>
          <t>Strong Buy</t>
        </is>
      </c>
      <c r="B2" t="n">
        <v>9</v>
      </c>
      <c r="D2" t="inlineStr">
        <is>
          <t>Large Cap</t>
        </is>
      </c>
      <c r="E2" t="n">
        <v>2</v>
      </c>
      <c r="F2" t="n">
        <v>3</v>
      </c>
      <c r="G2" t="n">
        <v>2</v>
      </c>
      <c r="H2" t="n">
        <v>5</v>
      </c>
      <c r="I2" t="n">
        <v>4</v>
      </c>
    </row>
    <row r="3">
      <c r="A3" t="inlineStr">
        <is>
          <t>Buy</t>
        </is>
      </c>
      <c r="B3" t="n">
        <v>12</v>
      </c>
      <c r="D3" t="inlineStr">
        <is>
          <t>Flexi Cap</t>
        </is>
      </c>
      <c r="E3" t="n">
        <v>2</v>
      </c>
      <c r="F3" t="n">
        <v>4</v>
      </c>
      <c r="G3" t="n">
        <v>6</v>
      </c>
      <c r="H3" t="n">
        <v>8</v>
      </c>
      <c r="I3" t="n">
        <v>7</v>
      </c>
    </row>
    <row r="4">
      <c r="A4" t="inlineStr">
        <is>
          <t>Hold</t>
        </is>
      </c>
      <c r="B4" t="n">
        <v>17</v>
      </c>
      <c r="D4" t="inlineStr">
        <is>
          <t>Mid Cap</t>
        </is>
      </c>
      <c r="E4" t="n">
        <v>3</v>
      </c>
      <c r="F4" t="n">
        <v>4</v>
      </c>
      <c r="G4" t="n">
        <v>4</v>
      </c>
      <c r="H4" t="n">
        <v>5</v>
      </c>
      <c r="I4" t="n">
        <v>6</v>
      </c>
    </row>
    <row r="5">
      <c r="A5" t="inlineStr">
        <is>
          <t>Underweight</t>
        </is>
      </c>
      <c r="B5" t="n">
        <v>21</v>
      </c>
      <c r="D5" t="inlineStr">
        <is>
          <t>Small Cap</t>
        </is>
      </c>
      <c r="E5" t="n">
        <v>2</v>
      </c>
      <c r="F5" t="n">
        <v>1</v>
      </c>
      <c r="G5" t="n">
        <v>5</v>
      </c>
      <c r="H5" t="n">
        <v>3</v>
      </c>
      <c r="I5" t="n">
        <v>4</v>
      </c>
    </row>
    <row r="6">
      <c r="A6" t="inlineStr">
        <is>
          <t>Avoid</t>
        </is>
      </c>
      <c r="B6" t="n">
        <v>21</v>
      </c>
    </row>
    <row r="8">
      <c r="A8" t="inlineStr">
        <is>
          <t>Score Range</t>
        </is>
      </c>
      <c r="B8" t="inlineStr">
        <is>
          <t>Funds</t>
        </is>
      </c>
    </row>
    <row r="9">
      <c r="A9" t="inlineStr">
        <is>
          <t>0-20</t>
        </is>
      </c>
      <c r="B9" t="n">
        <v>6</v>
      </c>
    </row>
    <row r="10">
      <c r="A10" t="inlineStr">
        <is>
          <t>20-40</t>
        </is>
      </c>
      <c r="B10" t="n">
        <v>21</v>
      </c>
    </row>
    <row r="11">
      <c r="A11" t="inlineStr">
        <is>
          <t>40-60</t>
        </is>
      </c>
      <c r="B11" t="n">
        <v>27</v>
      </c>
    </row>
    <row r="12">
      <c r="A12" t="inlineStr">
        <is>
          <t>60-80</t>
        </is>
      </c>
      <c r="B12" t="n">
        <v>17</v>
      </c>
    </row>
    <row r="13">
      <c r="A13" t="inlineStr">
        <is>
          <t>80-100</t>
        </is>
      </c>
      <c r="B13" t="n">
        <v>9</v>
      </c>
    </row>
    <row r="15">
      <c r="A15" t="inlineStr">
        <is>
          <t>Fund</t>
        </is>
      </c>
      <c r="B15" t="inlineStr">
        <is>
          <t>Score</t>
        </is>
      </c>
    </row>
    <row r="16">
      <c r="A16" t="inlineStr">
        <is>
          <t>DSP Large Cap Fund</t>
        </is>
      </c>
      <c r="B16" t="n">
        <v>92.5</v>
      </c>
    </row>
    <row r="17">
      <c r="A17" t="inlineStr">
        <is>
          <t>ICICI Pru Large Cap Fund</t>
        </is>
      </c>
      <c r="B17" t="n">
        <v>90.7</v>
      </c>
    </row>
    <row r="18">
      <c r="A18" t="inlineStr">
        <is>
          <t>ICICI Pru Midcap Fund</t>
        </is>
      </c>
      <c r="B18" t="n">
        <v>88.90000000000001</v>
      </c>
    </row>
    <row r="19">
      <c r="A19" t="inlineStr">
        <is>
          <t>Aditya Birla SL Flexi Cap Fu</t>
        </is>
      </c>
      <c r="B19" t="n">
        <v>88.09999999999999</v>
      </c>
    </row>
    <row r="20">
      <c r="A20" t="inlineStr">
        <is>
          <t>ITI Small Cap Fund</t>
        </is>
      </c>
      <c r="B20" t="n">
        <v>84.90000000000001</v>
      </c>
    </row>
    <row r="21">
      <c r="A21" t="inlineStr">
        <is>
          <t>Edelweiss Mid Cap Fund</t>
        </is>
      </c>
      <c r="B21" t="n">
        <v>83.09999999999999</v>
      </c>
    </row>
    <row r="22">
      <c r="A22" t="inlineStr">
        <is>
          <t>Sundaram Mid Cap Fund</t>
        </is>
      </c>
      <c r="B22" t="n">
        <v>83.09999999999999</v>
      </c>
    </row>
    <row r="23">
      <c r="A23" t="inlineStr">
        <is>
          <t>Edelweiss Small Cap Fund</t>
        </is>
      </c>
      <c r="B23" t="n">
        <v>81.09999999999999</v>
      </c>
    </row>
    <row r="24">
      <c r="A24" t="inlineStr">
        <is>
          <t>Franklin India Flexi Cap Fun</t>
        </is>
      </c>
      <c r="B24" t="n">
        <v>80.3</v>
      </c>
    </row>
    <row r="25">
      <c r="A25" t="inlineStr">
        <is>
          <t>Mahindra Manulife Mid Cap Fu</t>
        </is>
      </c>
      <c r="B25" t="n">
        <v>76.7</v>
      </c>
    </row>
    <row r="26">
      <c r="A26" t="inlineStr">
        <is>
          <t>Edelweiss Flexi Cap Fund</t>
        </is>
      </c>
      <c r="B26" t="n">
        <v>73</v>
      </c>
    </row>
    <row r="27">
      <c r="A27" t="inlineStr">
        <is>
          <t>ITI Flexi Cap Fund</t>
        </is>
      </c>
      <c r="B27" t="n">
        <v>71.2</v>
      </c>
    </row>
    <row r="28">
      <c r="A28" t="inlineStr">
        <is>
          <t>Tata Flexi Cap Fund</t>
        </is>
      </c>
      <c r="B28" t="n">
        <v>70.7</v>
      </c>
    </row>
    <row r="29">
      <c r="A29" t="inlineStr">
        <is>
          <t>Motilal Oswal Flexi Cap Fund</t>
        </is>
      </c>
      <c r="B29" t="n">
        <v>69.40000000000001</v>
      </c>
    </row>
    <row r="30">
      <c r="A30" t="inlineStr">
        <is>
          <t>Sundaram Small Cap Fund</t>
        </is>
      </c>
      <c r="B30" t="n">
        <v>69.09999999999999</v>
      </c>
    </row>
    <row r="32">
      <c r="A32" t="inlineStr">
        <is>
          <t>Alpha 3Y</t>
        </is>
      </c>
      <c r="B32" t="inlineStr">
        <is>
          <t>Total Score</t>
        </is>
      </c>
    </row>
    <row r="33">
      <c r="A33" t="n">
        <v>3.96</v>
      </c>
      <c r="B33" t="n">
        <v>92.5</v>
      </c>
    </row>
    <row r="34">
      <c r="A34" t="n">
        <v>2.62</v>
      </c>
      <c r="B34" t="n">
        <v>90.7</v>
      </c>
    </row>
    <row r="35">
      <c r="A35" t="n">
        <v>1.62</v>
      </c>
      <c r="B35" t="n">
        <v>88.90000000000001</v>
      </c>
    </row>
    <row r="36">
      <c r="A36" t="n">
        <v>1.85</v>
      </c>
      <c r="B36" t="n">
        <v>88.09999999999999</v>
      </c>
    </row>
    <row r="37">
      <c r="A37" t="n">
        <v>2.45</v>
      </c>
      <c r="B37" t="n">
        <v>84.90000000000001</v>
      </c>
    </row>
    <row r="38">
      <c r="A38" t="n">
        <v>1.57</v>
      </c>
      <c r="B38" t="n">
        <v>83.09999999999999</v>
      </c>
    </row>
    <row r="39">
      <c r="A39" t="n">
        <v>0.62</v>
      </c>
      <c r="B39" t="n">
        <v>83.09999999999999</v>
      </c>
    </row>
    <row r="40">
      <c r="A40" t="n">
        <v>-2.32</v>
      </c>
      <c r="B40" t="n">
        <v>81.09999999999999</v>
      </c>
    </row>
    <row r="41">
      <c r="A41" t="n">
        <v>1.09</v>
      </c>
      <c r="B41" t="n">
        <v>80.3</v>
      </c>
    </row>
    <row r="42">
      <c r="A42" t="n">
        <v>0.88</v>
      </c>
      <c r="B42" t="n">
        <v>76.7</v>
      </c>
    </row>
    <row r="43">
      <c r="A43" t="n">
        <v>1.92</v>
      </c>
      <c r="B43" t="n">
        <v>73</v>
      </c>
    </row>
    <row r="44">
      <c r="A44" t="n">
        <v>4.29</v>
      </c>
      <c r="B44" t="n">
        <v>71.2</v>
      </c>
    </row>
    <row r="45">
      <c r="A45" t="n">
        <v>-0.19</v>
      </c>
      <c r="B45" t="n">
        <v>70.7</v>
      </c>
    </row>
    <row r="46">
      <c r="A46" t="n">
        <v>4.59</v>
      </c>
      <c r="B46" t="n">
        <v>69.40000000000001</v>
      </c>
    </row>
    <row r="47">
      <c r="A47" t="n">
        <v>-2.9</v>
      </c>
      <c r="B47" t="n">
        <v>69.09999999999999</v>
      </c>
    </row>
    <row r="48">
      <c r="A48" t="n">
        <v>-2.15</v>
      </c>
      <c r="B48" t="n">
        <v>68.2</v>
      </c>
    </row>
    <row r="49">
      <c r="A49" t="n">
        <v>-3.29</v>
      </c>
      <c r="B49" t="n">
        <v>67.59999999999999</v>
      </c>
    </row>
    <row r="50">
      <c r="A50" t="n">
        <v>0.3</v>
      </c>
      <c r="B50" t="n">
        <v>67.5</v>
      </c>
    </row>
    <row r="51">
      <c r="A51" t="n">
        <v>-2.51</v>
      </c>
      <c r="B51" t="n">
        <v>66.8</v>
      </c>
    </row>
    <row r="52">
      <c r="A52" t="n">
        <v>3.41</v>
      </c>
      <c r="B52" t="n">
        <v>65.8</v>
      </c>
    </row>
    <row r="53">
      <c r="A53" t="n">
        <v>-2.27</v>
      </c>
      <c r="B53" t="n">
        <v>65</v>
      </c>
    </row>
    <row r="54">
      <c r="A54" t="n">
        <v>-2.82</v>
      </c>
      <c r="B54" t="n">
        <v>64.7</v>
      </c>
    </row>
    <row r="55">
      <c r="A55" t="n">
        <v>-4.62</v>
      </c>
      <c r="B55" t="n">
        <v>63.6</v>
      </c>
    </row>
    <row r="56">
      <c r="A56" t="n">
        <v>-0.17</v>
      </c>
      <c r="B56" t="n">
        <v>63.1</v>
      </c>
    </row>
    <row r="57">
      <c r="A57" t="n">
        <v>0.8</v>
      </c>
      <c r="B57" t="n">
        <v>62.9</v>
      </c>
    </row>
    <row r="58">
      <c r="A58" t="n">
        <v>1.04</v>
      </c>
      <c r="B58" t="n">
        <v>62.8</v>
      </c>
    </row>
    <row r="59">
      <c r="A59" t="n">
        <v>-1.79</v>
      </c>
      <c r="B59" t="n">
        <v>59.5</v>
      </c>
    </row>
    <row r="60">
      <c r="A60" t="n">
        <v>-4.96</v>
      </c>
      <c r="B60" t="n">
        <v>56.2</v>
      </c>
    </row>
    <row r="61">
      <c r="A61" t="n">
        <v>1.08</v>
      </c>
      <c r="B61" t="n">
        <v>56.1</v>
      </c>
    </row>
    <row r="62">
      <c r="A62" t="n">
        <v>0.32</v>
      </c>
      <c r="B62" t="n">
        <v>56.1</v>
      </c>
    </row>
    <row r="63">
      <c r="A63" t="n">
        <v>1.58</v>
      </c>
      <c r="B63" t="n">
        <v>55.8</v>
      </c>
    </row>
    <row r="64">
      <c r="A64" t="n">
        <v>-3.5</v>
      </c>
      <c r="B64" t="n">
        <v>55.7</v>
      </c>
    </row>
    <row r="65">
      <c r="A65" t="n">
        <v>-6.46</v>
      </c>
      <c r="B65" t="n">
        <v>55.3</v>
      </c>
    </row>
    <row r="66">
      <c r="A66" t="n">
        <v>0.19</v>
      </c>
      <c r="B66" t="n">
        <v>55.1</v>
      </c>
    </row>
    <row r="67">
      <c r="A67" t="n">
        <v>0</v>
      </c>
      <c r="B67" t="n">
        <v>53.9</v>
      </c>
    </row>
    <row r="68">
      <c r="A68" t="n">
        <v>-3.74</v>
      </c>
      <c r="B68" t="n">
        <v>53.2</v>
      </c>
    </row>
    <row r="69">
      <c r="A69" t="n">
        <v>-3.33</v>
      </c>
      <c r="B69" t="n">
        <v>52.8</v>
      </c>
    </row>
    <row r="70">
      <c r="A70" t="n">
        <v>-2.86</v>
      </c>
      <c r="B70" t="n">
        <v>52.2</v>
      </c>
    </row>
    <row r="71">
      <c r="A71" t="n">
        <v>-1.03</v>
      </c>
      <c r="B71" t="n">
        <v>49.8</v>
      </c>
    </row>
    <row r="72">
      <c r="A72" t="n">
        <v>-5.86</v>
      </c>
      <c r="B72" t="n">
        <v>47.7</v>
      </c>
    </row>
    <row r="73">
      <c r="A73" t="n">
        <v>-2.86</v>
      </c>
      <c r="B73" t="n">
        <v>47.4</v>
      </c>
    </row>
    <row r="74">
      <c r="A74" t="n">
        <v>-6.75</v>
      </c>
      <c r="B74" t="n">
        <v>46.4</v>
      </c>
    </row>
    <row r="75">
      <c r="A75" t="n">
        <v>-0.01</v>
      </c>
      <c r="B75" t="n">
        <v>45.2</v>
      </c>
    </row>
    <row r="76">
      <c r="A76" t="n">
        <v>-7.81</v>
      </c>
      <c r="B76" t="n">
        <v>44.9</v>
      </c>
    </row>
    <row r="77">
      <c r="A77" t="n">
        <v>-2.75</v>
      </c>
      <c r="B77" t="n">
        <v>44.9</v>
      </c>
    </row>
    <row r="78">
      <c r="A78" t="n">
        <v>1.22</v>
      </c>
      <c r="B78" t="n">
        <v>44</v>
      </c>
    </row>
    <row r="79">
      <c r="A79" t="n">
        <v>-1.24</v>
      </c>
      <c r="B79" t="n">
        <v>43.6</v>
      </c>
    </row>
    <row r="80">
      <c r="A80" t="n">
        <v>-4.45</v>
      </c>
      <c r="B80" t="n">
        <v>42.2</v>
      </c>
    </row>
    <row r="81">
      <c r="A81" t="n">
        <v>0.07000000000000001</v>
      </c>
      <c r="B81" t="n">
        <v>42</v>
      </c>
    </row>
    <row r="82">
      <c r="A82" t="n">
        <v>-6.32</v>
      </c>
      <c r="B82" t="n">
        <v>41.8</v>
      </c>
    </row>
    <row r="83">
      <c r="A83" t="n">
        <v>-1.08</v>
      </c>
      <c r="B83" t="n">
        <v>41.1</v>
      </c>
    </row>
    <row r="84">
      <c r="A84" t="n">
        <v>-3.03</v>
      </c>
      <c r="B84" t="n">
        <v>40.6</v>
      </c>
    </row>
    <row r="85">
      <c r="A85" t="n">
        <v>-3.28</v>
      </c>
      <c r="B85" t="n">
        <v>40.2</v>
      </c>
    </row>
    <row r="86">
      <c r="A86" t="n">
        <v>-6.08</v>
      </c>
      <c r="B86" t="n">
        <v>39.5</v>
      </c>
    </row>
    <row r="87">
      <c r="A87" t="n">
        <v>-6.94</v>
      </c>
      <c r="B87" t="n">
        <v>38.7</v>
      </c>
    </row>
    <row r="88">
      <c r="A88" t="n">
        <v>-2.24</v>
      </c>
      <c r="B88" t="n">
        <v>38.1</v>
      </c>
    </row>
    <row r="89">
      <c r="A89" t="n">
        <v>-9.359999999999999</v>
      </c>
      <c r="B89" t="n">
        <v>37</v>
      </c>
    </row>
    <row r="90">
      <c r="A90" t="n">
        <v>-7.31</v>
      </c>
      <c r="B90" t="n">
        <v>36.1</v>
      </c>
    </row>
    <row r="91">
      <c r="A91" t="n">
        <v>0.01</v>
      </c>
      <c r="B91" t="n">
        <v>36</v>
      </c>
    </row>
    <row r="92">
      <c r="A92" t="n">
        <v>-0.46</v>
      </c>
      <c r="B92" t="n">
        <v>34.9</v>
      </c>
    </row>
    <row r="93">
      <c r="A93" t="n">
        <v>-1.35</v>
      </c>
      <c r="B93" t="n">
        <v>34.5</v>
      </c>
    </row>
    <row r="94">
      <c r="A94" t="n">
        <v>-8.119999999999999</v>
      </c>
      <c r="B94" t="n">
        <v>33.2</v>
      </c>
    </row>
    <row r="95">
      <c r="A95" t="n">
        <v>-9.210000000000001</v>
      </c>
      <c r="B95" t="n">
        <v>32.9</v>
      </c>
    </row>
    <row r="96">
      <c r="A96" t="n">
        <v>-3.51</v>
      </c>
      <c r="B96" t="n">
        <v>32.3</v>
      </c>
    </row>
    <row r="97">
      <c r="A97" t="n">
        <v>-6.69</v>
      </c>
      <c r="B97" t="n">
        <v>31.4</v>
      </c>
    </row>
    <row r="98">
      <c r="A98" t="n">
        <v>-4.65</v>
      </c>
      <c r="B98" t="n">
        <v>29.6</v>
      </c>
    </row>
    <row r="99">
      <c r="A99" t="n">
        <v>-7.1</v>
      </c>
      <c r="B99" t="n">
        <v>28.7</v>
      </c>
    </row>
    <row r="100">
      <c r="A100" t="n">
        <v>-2.12</v>
      </c>
      <c r="B100" t="n">
        <v>27</v>
      </c>
    </row>
    <row r="101">
      <c r="A101" t="n">
        <v>-4.07</v>
      </c>
      <c r="B101" t="n">
        <v>25.7</v>
      </c>
    </row>
    <row r="102">
      <c r="A102" t="n">
        <v>-8.75</v>
      </c>
      <c r="B102" t="n">
        <v>25.4</v>
      </c>
    </row>
    <row r="103">
      <c r="A103" t="n">
        <v>-9.75</v>
      </c>
      <c r="B103" t="n">
        <v>24.8</v>
      </c>
    </row>
    <row r="104">
      <c r="A104" t="n">
        <v>-1.03</v>
      </c>
      <c r="B104" t="n">
        <v>23.2</v>
      </c>
    </row>
    <row r="105">
      <c r="A105" t="n">
        <v>-6.18</v>
      </c>
      <c r="B105" t="n">
        <v>20.6</v>
      </c>
    </row>
    <row r="106">
      <c r="A106" t="n">
        <v>-2.03</v>
      </c>
      <c r="B106" t="n">
        <v>20.4</v>
      </c>
    </row>
    <row r="107">
      <c r="A107" t="n">
        <v>-2.23</v>
      </c>
      <c r="B107" t="n">
        <v>18.4</v>
      </c>
    </row>
    <row r="108">
      <c r="A108" t="n">
        <v>-6.57</v>
      </c>
      <c r="B108" t="n">
        <v>16.5</v>
      </c>
    </row>
    <row r="109">
      <c r="A109" t="n">
        <v>-10.41</v>
      </c>
      <c r="B109" t="n">
        <v>16.3</v>
      </c>
    </row>
    <row r="110">
      <c r="A110" t="n">
        <v>-8.43</v>
      </c>
      <c r="B110" t="n">
        <v>15.8</v>
      </c>
    </row>
    <row r="111">
      <c r="A111" t="n">
        <v>-6.67</v>
      </c>
      <c r="B111" t="n">
        <v>15.7</v>
      </c>
    </row>
    <row r="112">
      <c r="A112" t="n">
        <v>-9.52</v>
      </c>
      <c r="B112" t="n">
        <v>14.7</v>
      </c>
    </row>
    <row r="114">
      <c r="A114" t="inlineStr">
        <is>
          <t>Sharpe</t>
        </is>
      </c>
      <c r="B114" t="inlineStr">
        <is>
          <t>Sortino</t>
        </is>
      </c>
    </row>
    <row r="115">
      <c r="A115" t="n">
        <v>0.326</v>
      </c>
      <c r="B115" t="n">
        <v>0.631</v>
      </c>
    </row>
    <row r="116">
      <c r="A116" t="n">
        <v>0.327</v>
      </c>
      <c r="B116" t="n">
        <v>0.604</v>
      </c>
    </row>
    <row r="117">
      <c r="A117" t="n">
        <v>0.374</v>
      </c>
      <c r="B117" t="n">
        <v>0.741</v>
      </c>
    </row>
    <row r="118">
      <c r="A118" t="n">
        <v>0.321</v>
      </c>
      <c r="B118" t="n">
        <v>0.61</v>
      </c>
    </row>
    <row r="119">
      <c r="A119" t="n">
        <v>0.312</v>
      </c>
      <c r="B119" t="n">
        <v>0.569</v>
      </c>
    </row>
    <row r="120">
      <c r="A120" t="n">
        <v>0.371</v>
      </c>
      <c r="B120" t="n">
        <v>0.697</v>
      </c>
    </row>
    <row r="121">
      <c r="A121" t="n">
        <v>0.376</v>
      </c>
      <c r="B121" t="n">
        <v>0.679</v>
      </c>
    </row>
    <row r="122">
      <c r="A122" t="n">
        <v>0.273</v>
      </c>
      <c r="B122" t="n">
        <v>0.489</v>
      </c>
    </row>
    <row r="123">
      <c r="A123" t="n">
        <v>0.308</v>
      </c>
      <c r="B123" t="n">
        <v>0.5610000000000001</v>
      </c>
    </row>
    <row r="124">
      <c r="A124" t="n">
        <v>0.37</v>
      </c>
      <c r="B124" t="n">
        <v>0.696</v>
      </c>
    </row>
    <row r="125">
      <c r="A125" t="n">
        <v>0.299</v>
      </c>
      <c r="B125" t="n">
        <v>0.542</v>
      </c>
    </row>
    <row r="126">
      <c r="A126" t="n">
        <v>0.314</v>
      </c>
      <c r="B126" t="n">
        <v>0.569</v>
      </c>
    </row>
    <row r="127">
      <c r="A127" t="n">
        <v>0.291</v>
      </c>
      <c r="B127" t="n">
        <v>0.5620000000000001</v>
      </c>
    </row>
    <row r="128">
      <c r="A128" t="n">
        <v>0.293</v>
      </c>
      <c r="B128" t="n">
        <v>0.536</v>
      </c>
    </row>
    <row r="129">
      <c r="A129" t="n">
        <v>0.262</v>
      </c>
      <c r="B129" t="n">
        <v>0.454</v>
      </c>
    </row>
    <row r="130">
      <c r="A130" t="n">
        <v>0.342</v>
      </c>
      <c r="B130" t="n">
        <v>0.649</v>
      </c>
    </row>
    <row r="131">
      <c r="A131" t="n">
        <v>0.389</v>
      </c>
      <c r="B131" t="n">
        <v>0.735</v>
      </c>
    </row>
    <row r="132">
      <c r="A132" t="n">
        <v>0.266</v>
      </c>
      <c r="B132" t="n">
        <v>0.476</v>
      </c>
    </row>
    <row r="133">
      <c r="A133" t="n">
        <v>0.327</v>
      </c>
      <c r="B133" t="n">
        <v>0.611</v>
      </c>
    </row>
    <row r="134">
      <c r="A134" t="n">
        <v>0.281</v>
      </c>
      <c r="B134" t="n">
        <v>0.524</v>
      </c>
    </row>
    <row r="135">
      <c r="A135" t="n">
        <v>0.354</v>
      </c>
      <c r="B135" t="n">
        <v>0.643</v>
      </c>
    </row>
    <row r="136">
      <c r="A136" t="n">
        <v>0.32</v>
      </c>
      <c r="B136" t="n">
        <v>0.591</v>
      </c>
    </row>
    <row r="137">
      <c r="A137" t="n">
        <v>0.312</v>
      </c>
      <c r="B137" t="n">
        <v>0.556</v>
      </c>
    </row>
    <row r="138">
      <c r="A138" t="n">
        <v>0.284</v>
      </c>
      <c r="B138" t="n">
        <v>0.529</v>
      </c>
    </row>
    <row r="139">
      <c r="A139" t="n">
        <v>0.308</v>
      </c>
      <c r="B139" t="n">
        <v>0.569</v>
      </c>
    </row>
    <row r="140">
      <c r="A140" t="n">
        <v>0.278</v>
      </c>
      <c r="B140" t="n">
        <v>0.499</v>
      </c>
    </row>
    <row r="141">
      <c r="A141" t="n">
        <v>0.241</v>
      </c>
      <c r="B141" t="n">
        <v>0.417</v>
      </c>
    </row>
    <row r="142">
      <c r="A142" t="n">
        <v>0.307</v>
      </c>
      <c r="B142" t="n">
        <v>0.5570000000000001</v>
      </c>
    </row>
    <row r="143">
      <c r="A143" t="n">
        <v>0.335</v>
      </c>
      <c r="B143" t="n">
        <v>0.552</v>
      </c>
    </row>
    <row r="144">
      <c r="A144" t="n">
        <v>0.263</v>
      </c>
      <c r="B144" t="n">
        <v>0.478</v>
      </c>
    </row>
    <row r="145">
      <c r="A145" t="n">
        <v>0.282</v>
      </c>
      <c r="B145" t="n">
        <v>0.502</v>
      </c>
    </row>
    <row r="146">
      <c r="A146" t="n">
        <v>0.308</v>
      </c>
      <c r="B146" t="n">
        <v>0.526</v>
      </c>
    </row>
    <row r="147">
      <c r="A147" t="n">
        <v>0.234</v>
      </c>
      <c r="B147" t="n">
        <v>0.442</v>
      </c>
    </row>
    <row r="148">
      <c r="A148" t="n">
        <v>0.267</v>
      </c>
      <c r="B148" t="n">
        <v>0.498</v>
      </c>
    </row>
    <row r="149">
      <c r="A149" t="n">
        <v>0.342</v>
      </c>
      <c r="B149" t="n">
        <v>0.634</v>
      </c>
    </row>
    <row r="150">
      <c r="A150" t="n">
        <v>0.234</v>
      </c>
      <c r="B150" t="n">
        <v>0.422</v>
      </c>
    </row>
    <row r="151">
      <c r="A151" t="n">
        <v>0.361</v>
      </c>
      <c r="B151" t="n">
        <v>0.657</v>
      </c>
    </row>
    <row r="152">
      <c r="A152" t="n">
        <v>0.32</v>
      </c>
      <c r="B152" t="n">
        <v>0.6</v>
      </c>
    </row>
    <row r="153">
      <c r="A153" t="n">
        <v>0.317</v>
      </c>
      <c r="B153" t="n">
        <v>0.625</v>
      </c>
    </row>
    <row r="154">
      <c r="A154" t="n">
        <v>0.283</v>
      </c>
      <c r="B154" t="n">
        <v>0.513</v>
      </c>
    </row>
    <row r="155">
      <c r="A155" t="n">
        <v>0.282</v>
      </c>
      <c r="B155" t="n">
        <v>0.526</v>
      </c>
    </row>
    <row r="156">
      <c r="A156" t="n">
        <v>0.256</v>
      </c>
      <c r="B156" t="n">
        <v>0.469</v>
      </c>
    </row>
    <row r="157">
      <c r="A157" t="n">
        <v>0.256</v>
      </c>
      <c r="B157" t="n">
        <v>0.474</v>
      </c>
    </row>
    <row r="158">
      <c r="A158" t="n">
        <v>0.259</v>
      </c>
      <c r="B158" t="n">
        <v>0.44</v>
      </c>
    </row>
    <row r="159">
      <c r="A159" t="n">
        <v>0.284</v>
      </c>
      <c r="B159" t="n">
        <v>0.488</v>
      </c>
    </row>
    <row r="160">
      <c r="A160" t="n">
        <v>0.241</v>
      </c>
      <c r="B160" t="n">
        <v>0.48</v>
      </c>
    </row>
    <row r="161">
      <c r="A161" t="n">
        <v>0.259</v>
      </c>
      <c r="B161" t="n">
        <v>0.468</v>
      </c>
    </row>
    <row r="162">
      <c r="A162" t="n">
        <v>0.226</v>
      </c>
      <c r="B162" t="n">
        <v>0.42</v>
      </c>
    </row>
    <row r="163">
      <c r="A163" t="n">
        <v>0.255</v>
      </c>
      <c r="B163" t="n">
        <v>0.456</v>
      </c>
    </row>
    <row r="164">
      <c r="A164" t="n">
        <v>0.257</v>
      </c>
      <c r="B164" t="n">
        <v>0.469</v>
      </c>
    </row>
    <row r="165">
      <c r="A165" t="n">
        <v>0.251</v>
      </c>
      <c r="B165" t="n">
        <v>0.45</v>
      </c>
    </row>
    <row r="166">
      <c r="A166" t="n">
        <v>0.308</v>
      </c>
      <c r="B166" t="n">
        <v>0.5620000000000001</v>
      </c>
    </row>
    <row r="167">
      <c r="A167" t="n">
        <v>0.301</v>
      </c>
      <c r="B167" t="n">
        <v>0.57</v>
      </c>
    </row>
    <row r="168">
      <c r="A168" t="n">
        <v>0.214</v>
      </c>
      <c r="B168" t="n">
        <v>0.369</v>
      </c>
    </row>
    <row r="169">
      <c r="A169" t="n">
        <v>0.257</v>
      </c>
      <c r="B169" t="n">
        <v>0.466</v>
      </c>
    </row>
    <row r="170">
      <c r="A170" t="n">
        <v>0.246</v>
      </c>
      <c r="B170" t="n">
        <v>0.436</v>
      </c>
    </row>
    <row r="171">
      <c r="A171" t="n">
        <v>0.302</v>
      </c>
      <c r="B171" t="n">
        <v>0.5669999999999999</v>
      </c>
    </row>
    <row r="172">
      <c r="A172" t="n">
        <v>0.266</v>
      </c>
      <c r="B172" t="n">
        <v>0.507</v>
      </c>
    </row>
    <row r="173">
      <c r="A173" t="n">
        <v>0.253</v>
      </c>
      <c r="B173" t="n">
        <v>0.459</v>
      </c>
    </row>
    <row r="174">
      <c r="A174" t="n">
        <v>0.249</v>
      </c>
      <c r="B174" t="n">
        <v>0.434</v>
      </c>
    </row>
    <row r="175">
      <c r="A175" t="n">
        <v>0.239</v>
      </c>
      <c r="B175" t="n">
        <v>0.437</v>
      </c>
    </row>
    <row r="176">
      <c r="A176" t="n">
        <v>0.312</v>
      </c>
      <c r="B176" t="n">
        <v>0.5659999999999999</v>
      </c>
    </row>
    <row r="177">
      <c r="A177" t="n">
        <v>0.227</v>
      </c>
      <c r="B177" t="n">
        <v>0.395</v>
      </c>
    </row>
    <row r="178">
      <c r="A178" t="n">
        <v>0.298</v>
      </c>
      <c r="B178" t="n">
        <v>0.5620000000000001</v>
      </c>
    </row>
    <row r="179">
      <c r="A179" t="n">
        <v>0.251</v>
      </c>
      <c r="B179" t="n">
        <v>0.434</v>
      </c>
    </row>
    <row r="180">
      <c r="A180" t="n">
        <v>0.209</v>
      </c>
      <c r="B180" t="n">
        <v>0.358</v>
      </c>
    </row>
    <row r="181">
      <c r="A181" t="n">
        <v>0.196</v>
      </c>
      <c r="B181" t="n">
        <v>0.35</v>
      </c>
    </row>
    <row r="182">
      <c r="A182" t="n">
        <v>0.213</v>
      </c>
      <c r="B182" t="n">
        <v>0.382</v>
      </c>
    </row>
    <row r="183">
      <c r="A183" t="n">
        <v>0.199</v>
      </c>
      <c r="B183" t="n">
        <v>0.363</v>
      </c>
    </row>
    <row r="184">
      <c r="A184" t="n">
        <v>0.286</v>
      </c>
      <c r="B184" t="n">
        <v>0.51</v>
      </c>
    </row>
    <row r="185">
      <c r="A185" t="n">
        <v>0.237</v>
      </c>
      <c r="B185" t="n">
        <v>0.424</v>
      </c>
    </row>
    <row r="186">
      <c r="A186" t="n">
        <v>0.206</v>
      </c>
      <c r="B186" t="n">
        <v>0.357</v>
      </c>
    </row>
    <row r="187">
      <c r="A187" t="n">
        <v>0.26</v>
      </c>
      <c r="B187" t="n">
        <v>0.475</v>
      </c>
    </row>
    <row r="188">
      <c r="A188" t="n">
        <v>0.214</v>
      </c>
      <c r="B188" t="n">
        <v>0.379</v>
      </c>
    </row>
    <row r="189">
      <c r="A189" t="n">
        <v>0.212</v>
      </c>
      <c r="B189" t="n">
        <v>0.362</v>
      </c>
    </row>
    <row r="190">
      <c r="A190" t="n">
        <v>0.137</v>
      </c>
      <c r="B190" t="n">
        <v>0.249</v>
      </c>
    </row>
    <row r="191">
      <c r="A191" t="n">
        <v>0.2</v>
      </c>
      <c r="B191" t="n">
        <v>0.364</v>
      </c>
    </row>
    <row r="192">
      <c r="A192" t="n">
        <v>0.207</v>
      </c>
      <c r="B192" t="n">
        <v>0.361</v>
      </c>
    </row>
    <row r="193">
      <c r="A193" t="n">
        <v>0.21</v>
      </c>
      <c r="B193" t="n">
        <v>0.398</v>
      </c>
    </row>
    <row r="194">
      <c r="A194" t="n">
        <v>0.157</v>
      </c>
      <c r="B194" t="n">
        <v>0.272</v>
      </c>
    </row>
    <row r="196">
      <c r="A196" t="inlineStr">
        <is>
          <t>Down Capture</t>
        </is>
      </c>
      <c r="B196" t="inlineStr">
        <is>
          <t>Up Capture</t>
        </is>
      </c>
    </row>
    <row r="197">
      <c r="A197" t="n">
        <v>76</v>
      </c>
      <c r="B197" t="n">
        <v>103.2</v>
      </c>
    </row>
    <row r="198">
      <c r="A198" t="n">
        <v>82.3</v>
      </c>
      <c r="B198" t="n">
        <v>101.7</v>
      </c>
    </row>
    <row r="199">
      <c r="A199" t="n">
        <v>90.09999999999999</v>
      </c>
      <c r="B199" t="n">
        <v>100.8</v>
      </c>
    </row>
    <row r="200">
      <c r="A200" t="n">
        <v>88</v>
      </c>
      <c r="B200" t="n">
        <v>99.7</v>
      </c>
    </row>
    <row r="201">
      <c r="A201" t="n">
        <v>78.3</v>
      </c>
      <c r="B201" t="n">
        <v>93.90000000000001</v>
      </c>
    </row>
    <row r="202">
      <c r="A202" t="n">
        <v>93.09999999999999</v>
      </c>
      <c r="B202" t="n">
        <v>101.1</v>
      </c>
    </row>
    <row r="203">
      <c r="A203" t="n">
        <v>89.09999999999999</v>
      </c>
      <c r="B203" t="n">
        <v>97.40000000000001</v>
      </c>
    </row>
    <row r="204">
      <c r="A204" t="n">
        <v>76.09999999999999</v>
      </c>
      <c r="B204" t="n">
        <v>83.8</v>
      </c>
    </row>
    <row r="205">
      <c r="A205" t="n">
        <v>88.5</v>
      </c>
      <c r="B205" t="n">
        <v>98</v>
      </c>
    </row>
    <row r="206">
      <c r="A206" t="n">
        <v>92.5</v>
      </c>
      <c r="B206" t="n">
        <v>98.5</v>
      </c>
    </row>
    <row r="207">
      <c r="A207" t="n">
        <v>100.5</v>
      </c>
      <c r="B207" t="n">
        <v>105.9</v>
      </c>
    </row>
    <row r="208">
      <c r="A208" t="n">
        <v>110.7</v>
      </c>
      <c r="B208" t="n">
        <v>118.7</v>
      </c>
    </row>
    <row r="209">
      <c r="A209" t="n">
        <v>78.90000000000001</v>
      </c>
      <c r="B209" t="n">
        <v>89.3</v>
      </c>
    </row>
    <row r="210">
      <c r="A210" t="n">
        <v>109</v>
      </c>
      <c r="B210" t="n">
        <v>117.3</v>
      </c>
    </row>
    <row r="211">
      <c r="A211" t="n">
        <v>79.3</v>
      </c>
      <c r="B211" t="n">
        <v>84.2</v>
      </c>
    </row>
    <row r="212">
      <c r="A212" t="n">
        <v>87.2</v>
      </c>
      <c r="B212" t="n">
        <v>90</v>
      </c>
    </row>
    <row r="213">
      <c r="A213" t="n">
        <v>93</v>
      </c>
      <c r="B213" t="n">
        <v>145.9</v>
      </c>
    </row>
    <row r="214">
      <c r="A214" t="n">
        <v>88.3</v>
      </c>
      <c r="B214" t="n">
        <v>95.2</v>
      </c>
    </row>
    <row r="215">
      <c r="A215" t="n">
        <v>86.40000000000001</v>
      </c>
      <c r="B215" t="n">
        <v>112.2</v>
      </c>
    </row>
    <row r="216">
      <c r="A216" t="n">
        <v>105.4</v>
      </c>
      <c r="B216" t="n">
        <v>116.4</v>
      </c>
    </row>
    <row r="217">
      <c r="A217" t="n">
        <v>83.3</v>
      </c>
      <c r="B217" t="n">
        <v>87</v>
      </c>
    </row>
    <row r="218">
      <c r="A218" t="n">
        <v>97.09999999999999</v>
      </c>
      <c r="B218" t="n">
        <v>120.6</v>
      </c>
    </row>
    <row r="219">
      <c r="A219" t="n">
        <v>113.9</v>
      </c>
      <c r="B219" t="n">
        <v>146.3</v>
      </c>
    </row>
    <row r="220">
      <c r="A220" t="n">
        <v>93.90000000000001</v>
      </c>
      <c r="B220" t="n">
        <v>96.90000000000001</v>
      </c>
    </row>
    <row r="221">
      <c r="A221" t="n">
        <v>111.1</v>
      </c>
      <c r="B221" t="n">
        <v>138.1</v>
      </c>
    </row>
    <row r="222">
      <c r="A222" t="n">
        <v>95.8</v>
      </c>
      <c r="B222" t="n">
        <v>101.7</v>
      </c>
    </row>
    <row r="223">
      <c r="A223" t="n">
        <v>87</v>
      </c>
      <c r="B223" t="n">
        <v>88.09999999999999</v>
      </c>
    </row>
    <row r="224">
      <c r="A224" t="n">
        <v>115.8</v>
      </c>
      <c r="B224" t="n">
        <v>145.7</v>
      </c>
    </row>
    <row r="225">
      <c r="A225" t="n">
        <v>103.6</v>
      </c>
      <c r="B225" t="n">
        <v>103.6</v>
      </c>
    </row>
    <row r="226">
      <c r="A226" t="n">
        <v>96.5</v>
      </c>
      <c r="B226" t="n">
        <v>99.59999999999999</v>
      </c>
    </row>
    <row r="227">
      <c r="A227" t="n">
        <v>110.8</v>
      </c>
      <c r="B227" t="n">
        <v>110.3</v>
      </c>
    </row>
    <row r="228">
      <c r="A228" t="n">
        <v>101</v>
      </c>
      <c r="B228" t="n">
        <v>120.6</v>
      </c>
    </row>
    <row r="229">
      <c r="A229" t="n">
        <v>71.5</v>
      </c>
      <c r="B229" t="n">
        <v>73.90000000000001</v>
      </c>
    </row>
    <row r="230">
      <c r="A230" t="n">
        <v>101.3</v>
      </c>
      <c r="B230" t="n">
        <v>100.7</v>
      </c>
    </row>
    <row r="231">
      <c r="A231" t="n">
        <v>99.09999999999999</v>
      </c>
      <c r="B231" t="n">
        <v>99.7</v>
      </c>
    </row>
    <row r="232">
      <c r="A232" t="n">
        <v>85.8</v>
      </c>
      <c r="B232" t="n">
        <v>85</v>
      </c>
    </row>
    <row r="233">
      <c r="A233" t="n">
        <v>109.7</v>
      </c>
      <c r="B233" t="n">
        <v>154.7</v>
      </c>
    </row>
    <row r="234">
      <c r="A234" t="n">
        <v>93.09999999999999</v>
      </c>
      <c r="B234" t="n">
        <v>92.40000000000001</v>
      </c>
    </row>
    <row r="235">
      <c r="A235" t="n">
        <v>100.3</v>
      </c>
      <c r="B235" t="n">
        <v>96.90000000000001</v>
      </c>
    </row>
    <row r="236">
      <c r="A236" t="n">
        <v>94</v>
      </c>
      <c r="B236" t="n">
        <v>107.2</v>
      </c>
    </row>
    <row r="237">
      <c r="A237" t="n">
        <v>107.8</v>
      </c>
      <c r="B237" t="n">
        <v>126.2</v>
      </c>
    </row>
    <row r="238">
      <c r="A238" t="n">
        <v>85.5</v>
      </c>
      <c r="B238" t="n">
        <v>95.90000000000001</v>
      </c>
    </row>
    <row r="239">
      <c r="A239" t="n">
        <v>94</v>
      </c>
      <c r="B239" t="n">
        <v>96.2</v>
      </c>
    </row>
    <row r="240">
      <c r="A240" t="n">
        <v>80.8</v>
      </c>
      <c r="B240" t="n">
        <v>93</v>
      </c>
    </row>
    <row r="241">
      <c r="A241" t="n">
        <v>111.9</v>
      </c>
      <c r="B241" t="n">
        <v>128.3</v>
      </c>
    </row>
    <row r="242">
      <c r="A242" t="n">
        <v>123.1</v>
      </c>
      <c r="B242" t="n">
        <v>111.4</v>
      </c>
    </row>
    <row r="243">
      <c r="A243" t="n">
        <v>99.09999999999999</v>
      </c>
      <c r="B243" t="n">
        <v>95.59999999999999</v>
      </c>
    </row>
    <row r="244">
      <c r="A244" t="n">
        <v>84.40000000000001</v>
      </c>
      <c r="B244" t="n">
        <v>82.8</v>
      </c>
    </row>
    <row r="245">
      <c r="A245" t="n">
        <v>98</v>
      </c>
      <c r="B245" t="n">
        <v>99</v>
      </c>
    </row>
    <row r="246">
      <c r="A246" t="n">
        <v>90.40000000000001</v>
      </c>
      <c r="B246" t="n">
        <v>99.5</v>
      </c>
    </row>
    <row r="247">
      <c r="A247" t="n">
        <v>103</v>
      </c>
      <c r="B247" t="n">
        <v>98.09999999999999</v>
      </c>
    </row>
    <row r="248">
      <c r="A248" t="n">
        <v>102.2</v>
      </c>
      <c r="B248" t="n">
        <v>93.90000000000001</v>
      </c>
    </row>
    <row r="249">
      <c r="A249" t="n">
        <v>96</v>
      </c>
      <c r="B249" t="n">
        <v>91</v>
      </c>
    </row>
    <row r="250">
      <c r="A250" t="n">
        <v>81.59999999999999</v>
      </c>
      <c r="B250" t="n">
        <v>78.2</v>
      </c>
    </row>
    <row r="251">
      <c r="A251" t="n">
        <v>90.7</v>
      </c>
      <c r="B251" t="n">
        <v>95.90000000000001</v>
      </c>
    </row>
    <row r="252">
      <c r="A252" t="n">
        <v>89.3</v>
      </c>
      <c r="B252" t="n">
        <v>87.40000000000001</v>
      </c>
    </row>
    <row r="253">
      <c r="A253" t="n">
        <v>90.3</v>
      </c>
      <c r="B253" t="n">
        <v>92.2</v>
      </c>
    </row>
    <row r="254">
      <c r="A254" t="n">
        <v>86.59999999999999</v>
      </c>
      <c r="B254" t="n">
        <v>76.59999999999999</v>
      </c>
    </row>
    <row r="255">
      <c r="A255" t="n">
        <v>98.5</v>
      </c>
      <c r="B255" t="n">
        <v>99.40000000000001</v>
      </c>
    </row>
    <row r="256">
      <c r="A256" t="n">
        <v>108.9</v>
      </c>
      <c r="B256" t="n">
        <v>100.9</v>
      </c>
    </row>
    <row r="257">
      <c r="A257" t="n">
        <v>101.5</v>
      </c>
      <c r="B257" t="n">
        <v>95.59999999999999</v>
      </c>
    </row>
    <row r="258">
      <c r="A258" t="n">
        <v>94.5</v>
      </c>
      <c r="B258" t="n">
        <v>96</v>
      </c>
    </row>
    <row r="259">
      <c r="A259" t="n">
        <v>87</v>
      </c>
      <c r="B259" t="n">
        <v>87</v>
      </c>
    </row>
    <row r="260">
      <c r="A260" t="n">
        <v>96.2</v>
      </c>
      <c r="B260" t="n">
        <v>89.2</v>
      </c>
    </row>
    <row r="261">
      <c r="A261" t="n">
        <v>97.09999999999999</v>
      </c>
      <c r="B261" t="n">
        <v>99.2</v>
      </c>
    </row>
    <row r="262">
      <c r="A262" t="n">
        <v>94.3</v>
      </c>
      <c r="B262" t="n">
        <v>87.90000000000001</v>
      </c>
    </row>
    <row r="263">
      <c r="A263" t="n">
        <v>75.59999999999999</v>
      </c>
      <c r="B263" t="n">
        <v>71.09999999999999</v>
      </c>
    </row>
    <row r="264">
      <c r="A264" t="n">
        <v>92.8</v>
      </c>
      <c r="B264" t="n">
        <v>87.3</v>
      </c>
    </row>
    <row r="265">
      <c r="A265" t="n">
        <v>100.6</v>
      </c>
      <c r="B265" t="n">
        <v>86.40000000000001</v>
      </c>
    </row>
    <row r="266">
      <c r="A266" t="n">
        <v>114.4</v>
      </c>
      <c r="B266" t="n">
        <v>135.9</v>
      </c>
    </row>
    <row r="267">
      <c r="A267" t="n">
        <v>133.1</v>
      </c>
      <c r="B267" t="n">
        <v>134.4</v>
      </c>
    </row>
    <row r="268">
      <c r="A268" t="n">
        <v>98.40000000000001</v>
      </c>
      <c r="B268" t="n">
        <v>94.40000000000001</v>
      </c>
    </row>
    <row r="269">
      <c r="A269" t="n">
        <v>103.1</v>
      </c>
      <c r="B269" t="n">
        <v>86.3</v>
      </c>
    </row>
    <row r="270">
      <c r="A270" t="n">
        <v>100.6</v>
      </c>
      <c r="B270" t="n">
        <v>92.7</v>
      </c>
    </row>
    <row r="271">
      <c r="A271" t="n">
        <v>119</v>
      </c>
      <c r="B271" t="n">
        <v>101.3</v>
      </c>
    </row>
    <row r="272">
      <c r="A272" t="n">
        <v>101.4</v>
      </c>
      <c r="B272" t="n">
        <v>77</v>
      </c>
    </row>
    <row r="273">
      <c r="A273" t="n">
        <v>94.2</v>
      </c>
      <c r="B273" t="n">
        <v>71.8</v>
      </c>
    </row>
    <row r="274">
      <c r="A274" t="n">
        <v>94</v>
      </c>
      <c r="B274" t="n">
        <v>92.5</v>
      </c>
    </row>
    <row r="275">
      <c r="A275" t="n">
        <v>105.4</v>
      </c>
      <c r="B275" t="n">
        <v>80.59999999999999</v>
      </c>
    </row>
    <row r="276">
      <c r="A276" t="n">
        <v>90.3</v>
      </c>
      <c r="B276" t="n">
        <v>75.5</v>
      </c>
    </row>
    <row r="278">
      <c r="A278" t="inlineStr">
        <is>
          <t>Expense Ratio</t>
        </is>
      </c>
      <c r="B278" t="inlineStr">
        <is>
          <t>Total Score</t>
        </is>
      </c>
    </row>
    <row r="279">
      <c r="A279" t="n">
        <v>1.82</v>
      </c>
      <c r="B279" t="n">
        <v>92.5</v>
      </c>
    </row>
    <row r="280">
      <c r="A280" t="n">
        <v>1.4</v>
      </c>
      <c r="B280" t="n">
        <v>90.7</v>
      </c>
    </row>
    <row r="281">
      <c r="A281" t="n">
        <v>1.85</v>
      </c>
      <c r="B281" t="n">
        <v>88.90000000000001</v>
      </c>
    </row>
    <row r="282">
      <c r="A282" t="n">
        <v>1.65</v>
      </c>
      <c r="B282" t="n">
        <v>88.09999999999999</v>
      </c>
    </row>
    <row r="283">
      <c r="A283" t="n">
        <v>1.86</v>
      </c>
      <c r="B283" t="n">
        <v>84.90000000000001</v>
      </c>
    </row>
    <row r="284">
      <c r="A284" t="n">
        <v>1.67</v>
      </c>
      <c r="B284" t="n">
        <v>83.09999999999999</v>
      </c>
    </row>
    <row r="285">
      <c r="A285" t="n">
        <v>1.73</v>
      </c>
      <c r="B285" t="n">
        <v>83.09999999999999</v>
      </c>
    </row>
    <row r="286">
      <c r="A286" t="n">
        <v>1.81</v>
      </c>
      <c r="B286" t="n">
        <v>81.09999999999999</v>
      </c>
    </row>
    <row r="287">
      <c r="A287" t="n">
        <v>1.69</v>
      </c>
      <c r="B287" t="n">
        <v>80.3</v>
      </c>
    </row>
    <row r="288">
      <c r="A288" t="n">
        <v>1.87</v>
      </c>
      <c r="B288" t="n">
        <v>76.7</v>
      </c>
    </row>
    <row r="289">
      <c r="A289" t="n">
        <v>1.88</v>
      </c>
      <c r="B289" t="n">
        <v>73</v>
      </c>
    </row>
    <row r="290">
      <c r="A290" t="n">
        <v>1.97</v>
      </c>
      <c r="B290" t="n">
        <v>71.2</v>
      </c>
    </row>
    <row r="291">
      <c r="A291" t="n">
        <v>1.88</v>
      </c>
      <c r="B291" t="n">
        <v>70.7</v>
      </c>
    </row>
    <row r="292">
      <c r="A292" t="n">
        <v>1.71</v>
      </c>
      <c r="B292" t="n">
        <v>69.40000000000001</v>
      </c>
    </row>
    <row r="293">
      <c r="A293" t="n">
        <v>1.94</v>
      </c>
      <c r="B293" t="n">
        <v>69.09999999999999</v>
      </c>
    </row>
    <row r="294">
      <c r="A294" t="n">
        <v>1.83</v>
      </c>
      <c r="B294" t="n">
        <v>68.2</v>
      </c>
    </row>
    <row r="295">
      <c r="A295" t="n">
        <v>1.85</v>
      </c>
      <c r="B295" t="n">
        <v>67.59999999999999</v>
      </c>
    </row>
    <row r="296">
      <c r="A296" t="n">
        <v>1.59</v>
      </c>
      <c r="B296" t="n">
        <v>67.5</v>
      </c>
    </row>
    <row r="297">
      <c r="A297" t="n">
        <v>1.47</v>
      </c>
      <c r="B297" t="n">
        <v>66.8</v>
      </c>
    </row>
    <row r="298">
      <c r="A298" t="n">
        <v>2.02</v>
      </c>
      <c r="B298" t="n">
        <v>65.8</v>
      </c>
    </row>
    <row r="299">
      <c r="A299" t="n">
        <v>1.97</v>
      </c>
      <c r="B299" t="n">
        <v>65</v>
      </c>
    </row>
    <row r="300">
      <c r="A300" t="n">
        <v>1.77</v>
      </c>
      <c r="B300" t="n">
        <v>64.7</v>
      </c>
    </row>
    <row r="301">
      <c r="A301" t="n">
        <v>1.7</v>
      </c>
      <c r="B301" t="n">
        <v>63.6</v>
      </c>
    </row>
    <row r="302">
      <c r="A302" t="n">
        <v>1.87</v>
      </c>
      <c r="B302" t="n">
        <v>63.1</v>
      </c>
    </row>
    <row r="303">
      <c r="A303" t="n">
        <v>1.92</v>
      </c>
      <c r="B303" t="n">
        <v>62.9</v>
      </c>
    </row>
    <row r="304">
      <c r="A304" t="n">
        <v>1.98</v>
      </c>
      <c r="B304" t="n">
        <v>62.8</v>
      </c>
    </row>
    <row r="305">
      <c r="A305" t="n">
        <v>1.95</v>
      </c>
      <c r="B305" t="n">
        <v>59.5</v>
      </c>
    </row>
    <row r="306">
      <c r="A306" t="n">
        <v>1.87</v>
      </c>
      <c r="B306" t="n">
        <v>56.2</v>
      </c>
    </row>
    <row r="307">
      <c r="A307" t="n">
        <v>1.72</v>
      </c>
      <c r="B307" t="n">
        <v>56.1</v>
      </c>
    </row>
    <row r="308">
      <c r="A308" t="n">
        <v>1.73</v>
      </c>
      <c r="B308" t="n">
        <v>56.1</v>
      </c>
    </row>
    <row r="309">
      <c r="A309" t="n">
        <v>1.93</v>
      </c>
      <c r="B309" t="n">
        <v>55.8</v>
      </c>
    </row>
    <row r="310">
      <c r="A310" t="n">
        <v>1.67</v>
      </c>
      <c r="B310" t="n">
        <v>55.7</v>
      </c>
    </row>
    <row r="311">
      <c r="A311" t="n">
        <v>1.8</v>
      </c>
      <c r="B311" t="n">
        <v>55.3</v>
      </c>
    </row>
    <row r="312">
      <c r="A312" t="n">
        <v>1.72</v>
      </c>
      <c r="B312" t="n">
        <v>55.1</v>
      </c>
    </row>
    <row r="313">
      <c r="A313" t="n">
        <v>1.99</v>
      </c>
      <c r="B313" t="n">
        <v>53.9</v>
      </c>
    </row>
    <row r="314">
      <c r="A314" t="n">
        <v>1.75</v>
      </c>
      <c r="B314" t="n">
        <v>53.2</v>
      </c>
    </row>
    <row r="315">
      <c r="A315" t="n">
        <v>1.71</v>
      </c>
      <c r="B315" t="n">
        <v>52.8</v>
      </c>
    </row>
    <row r="316">
      <c r="A316" t="n">
        <v>1.77</v>
      </c>
      <c r="B316" t="n">
        <v>52.2</v>
      </c>
    </row>
    <row r="317">
      <c r="A317" t="n">
        <v>2.16</v>
      </c>
      <c r="B317" t="n">
        <v>49.8</v>
      </c>
    </row>
    <row r="318">
      <c r="A318" t="n">
        <v>1.86</v>
      </c>
      <c r="B318" t="n">
        <v>47.7</v>
      </c>
    </row>
    <row r="319">
      <c r="A319" t="n">
        <v>1.84</v>
      </c>
      <c r="B319" t="n">
        <v>47.4</v>
      </c>
    </row>
    <row r="320">
      <c r="A320" t="n">
        <v>1.47</v>
      </c>
      <c r="B320" t="n">
        <v>46.4</v>
      </c>
    </row>
    <row r="321">
      <c r="A321" t="n">
        <v>1.86</v>
      </c>
      <c r="B321" t="n">
        <v>45.2</v>
      </c>
    </row>
    <row r="322">
      <c r="A322" t="n">
        <v>2.1</v>
      </c>
      <c r="B322" t="n">
        <v>44.9</v>
      </c>
    </row>
    <row r="323">
      <c r="A323" t="n">
        <v>1.84</v>
      </c>
      <c r="B323" t="n">
        <v>44.9</v>
      </c>
    </row>
    <row r="324">
      <c r="A324" t="n">
        <v>1.83</v>
      </c>
      <c r="B324" t="n">
        <v>44</v>
      </c>
    </row>
    <row r="325">
      <c r="A325" t="n">
        <v>2.07</v>
      </c>
      <c r="B325" t="n">
        <v>43.6</v>
      </c>
    </row>
    <row r="326">
      <c r="A326" t="n">
        <v>1.86</v>
      </c>
      <c r="B326" t="n">
        <v>42.2</v>
      </c>
    </row>
    <row r="327">
      <c r="A327" t="n">
        <v>1.63</v>
      </c>
      <c r="B327" t="n">
        <v>42</v>
      </c>
    </row>
    <row r="328">
      <c r="A328" t="n">
        <v>1.65</v>
      </c>
      <c r="B328" t="n">
        <v>41.8</v>
      </c>
    </row>
    <row r="329">
      <c r="A329" t="n">
        <v>1.73</v>
      </c>
      <c r="B329" t="n">
        <v>41.1</v>
      </c>
    </row>
    <row r="330">
      <c r="A330" t="n">
        <v>1.65</v>
      </c>
      <c r="B330" t="n">
        <v>40.6</v>
      </c>
    </row>
    <row r="331">
      <c r="A331" t="n">
        <v>1.67</v>
      </c>
      <c r="B331" t="n">
        <v>40.2</v>
      </c>
    </row>
    <row r="332">
      <c r="A332" t="n">
        <v>1.7</v>
      </c>
      <c r="B332" t="n">
        <v>39.5</v>
      </c>
    </row>
    <row r="333">
      <c r="A333" t="n">
        <v>1.69</v>
      </c>
      <c r="B333" t="n">
        <v>38.7</v>
      </c>
    </row>
    <row r="334">
      <c r="A334" t="n">
        <v>2.04</v>
      </c>
      <c r="B334" t="n">
        <v>38.1</v>
      </c>
    </row>
    <row r="335">
      <c r="A335" t="n">
        <v>1.88</v>
      </c>
      <c r="B335" t="n">
        <v>37</v>
      </c>
    </row>
    <row r="336">
      <c r="A336" t="n">
        <v>1.66</v>
      </c>
      <c r="B336" t="n">
        <v>36.1</v>
      </c>
    </row>
    <row r="337">
      <c r="A337" t="n">
        <v>1.99</v>
      </c>
      <c r="B337" t="n">
        <v>36</v>
      </c>
    </row>
    <row r="338">
      <c r="A338" t="n">
        <v>2.18</v>
      </c>
      <c r="B338" t="n">
        <v>34.9</v>
      </c>
    </row>
    <row r="339">
      <c r="A339" t="n">
        <v>1.72</v>
      </c>
      <c r="B339" t="n">
        <v>34.5</v>
      </c>
    </row>
    <row r="340">
      <c r="A340" t="n">
        <v>2.08</v>
      </c>
      <c r="B340" t="n">
        <v>33.2</v>
      </c>
    </row>
    <row r="341">
      <c r="A341" t="n">
        <v>1.66</v>
      </c>
      <c r="B341" t="n">
        <v>32.9</v>
      </c>
    </row>
    <row r="342">
      <c r="A342" t="n">
        <v>1.87</v>
      </c>
      <c r="B342" t="n">
        <v>32.3</v>
      </c>
    </row>
    <row r="343">
      <c r="A343" t="n">
        <v>2.02</v>
      </c>
      <c r="B343" t="n">
        <v>31.4</v>
      </c>
    </row>
    <row r="344">
      <c r="A344" t="n">
        <v>2.39</v>
      </c>
      <c r="B344" t="n">
        <v>29.6</v>
      </c>
    </row>
    <row r="345">
      <c r="A345" t="n">
        <v>2.08</v>
      </c>
      <c r="B345" t="n">
        <v>28.7</v>
      </c>
    </row>
    <row r="346">
      <c r="A346" t="n">
        <v>1.92</v>
      </c>
      <c r="B346" t="n">
        <v>27</v>
      </c>
    </row>
    <row r="347">
      <c r="A347" t="n">
        <v>1.79</v>
      </c>
      <c r="B347" t="n">
        <v>25.7</v>
      </c>
    </row>
    <row r="348">
      <c r="A348" t="n">
        <v>2.05</v>
      </c>
      <c r="B348" t="n">
        <v>25.4</v>
      </c>
    </row>
    <row r="349">
      <c r="A349" t="n">
        <v>1.9</v>
      </c>
      <c r="B349" t="n">
        <v>24.8</v>
      </c>
    </row>
    <row r="350">
      <c r="A350" t="n">
        <v>1.58</v>
      </c>
      <c r="B350" t="n">
        <v>23.2</v>
      </c>
    </row>
    <row r="351">
      <c r="A351" t="n">
        <v>1.76</v>
      </c>
      <c r="B351" t="n">
        <v>20.6</v>
      </c>
    </row>
    <row r="352">
      <c r="A352" t="n">
        <v>1.52</v>
      </c>
      <c r="B352" t="n">
        <v>20.4</v>
      </c>
    </row>
    <row r="353">
      <c r="A353" t="n">
        <v>2.32</v>
      </c>
      <c r="B353" t="n">
        <v>18.4</v>
      </c>
    </row>
    <row r="354">
      <c r="A354" t="n">
        <v>1.68</v>
      </c>
      <c r="B354" t="n">
        <v>16.5</v>
      </c>
    </row>
    <row r="355">
      <c r="A355" t="n">
        <v>1.71</v>
      </c>
      <c r="B355" t="n">
        <v>16.3</v>
      </c>
    </row>
    <row r="356">
      <c r="A356" t="n">
        <v>1.75</v>
      </c>
      <c r="B356" t="n">
        <v>15.8</v>
      </c>
    </row>
    <row r="357">
      <c r="A357" t="n">
        <v>1.82</v>
      </c>
      <c r="B357" t="n">
        <v>15.7</v>
      </c>
    </row>
    <row r="358">
      <c r="A358" t="n">
        <v>1.69</v>
      </c>
      <c r="B358" t="n">
        <v>14.7</v>
      </c>
    </row>
    <row r="360">
      <c r="A360" t="inlineStr">
        <is>
          <t>Fund</t>
        </is>
      </c>
      <c r="B360" t="inlineStr">
        <is>
          <t>Alpha</t>
        </is>
      </c>
      <c r="C360" t="inlineStr">
        <is>
          <t>Risk-Adj</t>
        </is>
      </c>
      <c r="D360" t="inlineStr">
        <is>
          <t>Consistency</t>
        </is>
      </c>
      <c r="E360" t="inlineStr">
        <is>
          <t>Downside</t>
        </is>
      </c>
      <c r="F360" t="inlineStr">
        <is>
          <t>Cost</t>
        </is>
      </c>
    </row>
    <row r="361">
      <c r="A361" t="inlineStr">
        <is>
          <t>DSP Large Cap Fund</t>
        </is>
      </c>
      <c r="B361" t="n">
        <v>23.7</v>
      </c>
      <c r="C361" t="n">
        <v>23</v>
      </c>
      <c r="D361" t="n">
        <v>24.1</v>
      </c>
      <c r="E361" t="n">
        <v>20</v>
      </c>
      <c r="F361" t="n">
        <v>1.7</v>
      </c>
    </row>
    <row r="362">
      <c r="A362" t="inlineStr">
        <is>
          <t>ICICI Pru Large Cap Fu</t>
        </is>
      </c>
      <c r="B362" t="n">
        <v>22.7</v>
      </c>
      <c r="C362" t="n">
        <v>22.7</v>
      </c>
      <c r="D362" t="n">
        <v>21.7</v>
      </c>
      <c r="E362" t="n">
        <v>18.7</v>
      </c>
      <c r="F362" t="n">
        <v>5</v>
      </c>
    </row>
    <row r="363">
      <c r="A363" t="inlineStr">
        <is>
          <t>ICICI Pru Midcap Fund</t>
        </is>
      </c>
      <c r="B363" t="n">
        <v>24.1</v>
      </c>
      <c r="C363" t="n">
        <v>23.3</v>
      </c>
      <c r="D363" t="n">
        <v>23.2</v>
      </c>
      <c r="E363" t="n">
        <v>16.2</v>
      </c>
      <c r="F363" t="n">
        <v>2</v>
      </c>
    </row>
    <row r="364">
      <c r="A364" t="inlineStr">
        <is>
          <t xml:space="preserve">Aditya Birla SL Flexi </t>
        </is>
      </c>
      <c r="B364" t="n">
        <v>21</v>
      </c>
      <c r="C364" t="n">
        <v>23.4</v>
      </c>
      <c r="D364" t="n">
        <v>20.2</v>
      </c>
      <c r="E364" t="n">
        <v>18.5</v>
      </c>
      <c r="F364" t="n">
        <v>5</v>
      </c>
    </row>
    <row r="365">
      <c r="A365" t="inlineStr">
        <is>
          <t>ITI Small Cap Fund</t>
        </is>
      </c>
      <c r="B365" t="n">
        <v>19.4</v>
      </c>
      <c r="C365" t="n">
        <v>23.9</v>
      </c>
      <c r="D365" t="n">
        <v>23.2</v>
      </c>
      <c r="E365" t="n">
        <v>15.7</v>
      </c>
      <c r="F365" t="n">
        <v>2.7</v>
      </c>
    </row>
    <row r="366">
      <c r="A366" t="inlineStr">
        <is>
          <t>Edelweiss Mid Cap Fund</t>
        </is>
      </c>
      <c r="B366" t="n">
        <v>24.1</v>
      </c>
      <c r="C366" t="n">
        <v>21.7</v>
      </c>
      <c r="D366" t="n">
        <v>21.4</v>
      </c>
      <c r="E366" t="n">
        <v>11.4</v>
      </c>
      <c r="F366" t="n">
        <v>4.4</v>
      </c>
    </row>
    <row r="367">
      <c r="A367" t="inlineStr">
        <is>
          <t>Sundaram Mid Cap Fund</t>
        </is>
      </c>
      <c r="B367" t="n">
        <v>20.6</v>
      </c>
      <c r="C367" t="n">
        <v>21.2</v>
      </c>
      <c r="D367" t="n">
        <v>20.9</v>
      </c>
      <c r="E367" t="n">
        <v>17.1</v>
      </c>
      <c r="F367" t="n">
        <v>3.3</v>
      </c>
    </row>
    <row r="368">
      <c r="A368" t="inlineStr">
        <is>
          <t>Edelweiss Small Cap Fu</t>
        </is>
      </c>
      <c r="B368" t="n">
        <v>21.6</v>
      </c>
      <c r="C368" t="n">
        <v>18.6</v>
      </c>
      <c r="D368" t="n">
        <v>20.6</v>
      </c>
      <c r="E368" t="n">
        <v>17.1</v>
      </c>
      <c r="F368" t="n">
        <v>3.2</v>
      </c>
    </row>
    <row r="369">
      <c r="A369" t="inlineStr">
        <is>
          <t>Franklin India Flexi C</t>
        </is>
      </c>
      <c r="B369" t="n">
        <v>20.7</v>
      </c>
      <c r="C369" t="n">
        <v>19.1</v>
      </c>
      <c r="D369" t="n">
        <v>18.8</v>
      </c>
      <c r="E369" t="n">
        <v>17.7</v>
      </c>
      <c r="F369" t="n">
        <v>4.1</v>
      </c>
    </row>
    <row r="372">
      <c r="A372" t="inlineStr">
        <is>
          <t>Category</t>
        </is>
      </c>
      <c r="B372" t="inlineStr">
        <is>
          <t>Avg Sharpe</t>
        </is>
      </c>
      <c r="C372" t="inlineStr">
        <is>
          <t>Best Sharpe</t>
        </is>
      </c>
      <c r="D372" t="inlineStr">
        <is>
          <t>Worst Sharpe</t>
        </is>
      </c>
    </row>
    <row r="373">
      <c r="A373" t="inlineStr">
        <is>
          <t>Large Cap</t>
        </is>
      </c>
      <c r="B373" t="n">
        <v>0.262</v>
      </c>
      <c r="C373" t="n">
        <v>0.327</v>
      </c>
      <c r="D373" t="n">
        <v>0.206</v>
      </c>
    </row>
    <row r="374">
      <c r="A374" t="inlineStr">
        <is>
          <t>Flexi Cap</t>
        </is>
      </c>
      <c r="B374" t="n">
        <v>0.267</v>
      </c>
      <c r="C374" t="n">
        <v>0.321</v>
      </c>
      <c r="D374" t="n">
        <v>0.137</v>
      </c>
    </row>
    <row r="375">
      <c r="A375" t="inlineStr">
        <is>
          <t>Mid Cap</t>
        </is>
      </c>
      <c r="B375" t="n">
        <v>0.318</v>
      </c>
      <c r="C375" t="n">
        <v>0.389</v>
      </c>
      <c r="D375" t="n">
        <v>0.2</v>
      </c>
    </row>
    <row r="376">
      <c r="A376" t="inlineStr">
        <is>
          <t>Small Cap</t>
        </is>
      </c>
      <c r="B376" t="n">
        <v>0.245</v>
      </c>
      <c r="C376" t="n">
        <v>0.312</v>
      </c>
      <c r="D376" t="n">
        <v>0.157</v>
      </c>
    </row>
    <row r="379">
      <c r="A379" t="inlineStr">
        <is>
          <t>Beta Range</t>
        </is>
      </c>
      <c r="B379" t="inlineStr">
        <is>
          <t>Funds</t>
        </is>
      </c>
    </row>
    <row r="380">
      <c r="A380" t="inlineStr">
        <is>
          <t>&lt;0.80</t>
        </is>
      </c>
      <c r="B380" t="n">
        <v>2</v>
      </c>
    </row>
    <row r="381">
      <c r="A381" t="inlineStr">
        <is>
          <t>0.80-0.90</t>
        </is>
      </c>
      <c r="B381" t="n">
        <v>18</v>
      </c>
    </row>
    <row r="382">
      <c r="A382" t="inlineStr">
        <is>
          <t>0.90-1.00</t>
        </is>
      </c>
      <c r="B382" t="n">
        <v>38</v>
      </c>
    </row>
    <row r="383">
      <c r="A383" t="inlineStr">
        <is>
          <t>1.00-1.10</t>
        </is>
      </c>
      <c r="B383" t="n">
        <v>14</v>
      </c>
    </row>
    <row r="384">
      <c r="A384" t="inlineStr">
        <is>
          <t>1.10+</t>
        </is>
      </c>
      <c r="B384" t="n">
        <v>8</v>
      </c>
    </row>
    <row r="387">
      <c r="A387" t="inlineStr">
        <is>
          <t>AUM (Cr)</t>
        </is>
      </c>
      <c r="B387" t="inlineStr">
        <is>
          <t>Total Score</t>
        </is>
      </c>
    </row>
    <row r="388">
      <c r="A388" t="n">
        <v>7270</v>
      </c>
      <c r="B388" t="n">
        <v>92.5</v>
      </c>
    </row>
    <row r="389">
      <c r="A389" t="n">
        <v>77452</v>
      </c>
      <c r="B389" t="n">
        <v>90.7</v>
      </c>
    </row>
    <row r="390">
      <c r="A390" t="n">
        <v>7280</v>
      </c>
      <c r="B390" t="n">
        <v>88.90000000000001</v>
      </c>
    </row>
    <row r="391">
      <c r="A391" t="n">
        <v>25207</v>
      </c>
      <c r="B391" t="n">
        <v>88.09999999999999</v>
      </c>
    </row>
    <row r="392">
      <c r="A392" t="n">
        <v>2712</v>
      </c>
      <c r="B392" t="n">
        <v>84.90000000000001</v>
      </c>
    </row>
    <row r="393">
      <c r="A393" t="n">
        <v>14355</v>
      </c>
      <c r="B393" t="n">
        <v>83.09999999999999</v>
      </c>
    </row>
    <row r="394">
      <c r="A394" t="n">
        <v>13235</v>
      </c>
      <c r="B394" t="n">
        <v>83.09999999999999</v>
      </c>
    </row>
    <row r="395">
      <c r="A395" t="n">
        <v>5481</v>
      </c>
      <c r="B395" t="n">
        <v>81.09999999999999</v>
      </c>
    </row>
    <row r="396">
      <c r="A396" t="n">
        <v>19598</v>
      </c>
      <c r="B396" t="n">
        <v>80.3</v>
      </c>
    </row>
    <row r="397">
      <c r="A397" t="n">
        <v>4440</v>
      </c>
      <c r="B397" t="n">
        <v>76.7</v>
      </c>
    </row>
    <row r="398">
      <c r="A398" t="n">
        <v>3203</v>
      </c>
      <c r="B398" t="n">
        <v>73</v>
      </c>
    </row>
    <row r="399">
      <c r="A399" t="n">
        <v>1267</v>
      </c>
      <c r="B399" t="n">
        <v>71.2</v>
      </c>
    </row>
    <row r="400">
      <c r="A400" t="n">
        <v>3699</v>
      </c>
      <c r="B400" t="n">
        <v>70.7</v>
      </c>
    </row>
    <row r="401">
      <c r="A401" t="n">
        <v>12890</v>
      </c>
      <c r="B401" t="n">
        <v>69.40000000000001</v>
      </c>
    </row>
    <row r="402">
      <c r="A402" t="n">
        <v>3306</v>
      </c>
      <c r="B402" t="n">
        <v>69.09999999999999</v>
      </c>
    </row>
    <row r="403">
      <c r="A403" t="n">
        <v>5505</v>
      </c>
      <c r="B403" t="n">
        <v>68.2</v>
      </c>
    </row>
    <row r="404">
      <c r="A404" t="n">
        <v>4695</v>
      </c>
      <c r="B404" t="n">
        <v>67.59999999999999</v>
      </c>
    </row>
    <row r="405">
      <c r="A405" t="n">
        <v>40085</v>
      </c>
      <c r="B405" t="n">
        <v>67.5</v>
      </c>
    </row>
    <row r="406">
      <c r="A406" t="n">
        <v>51404</v>
      </c>
      <c r="B406" t="n">
        <v>66.8</v>
      </c>
    </row>
    <row r="407">
      <c r="A407" t="n">
        <v>2024</v>
      </c>
      <c r="B407" t="n">
        <v>65.8</v>
      </c>
    </row>
    <row r="408">
      <c r="A408" t="n">
        <v>2341</v>
      </c>
      <c r="B408" t="n">
        <v>65</v>
      </c>
    </row>
    <row r="409">
      <c r="A409" t="n">
        <v>7287</v>
      </c>
      <c r="B409" t="n">
        <v>64.7</v>
      </c>
    </row>
    <row r="410">
      <c r="A410" t="n">
        <v>9716</v>
      </c>
      <c r="B410" t="n">
        <v>63.6</v>
      </c>
    </row>
    <row r="411">
      <c r="A411" t="n">
        <v>3656</v>
      </c>
      <c r="B411" t="n">
        <v>63.1</v>
      </c>
    </row>
    <row r="412">
      <c r="A412" t="n">
        <v>2186</v>
      </c>
      <c r="B412" t="n">
        <v>62.9</v>
      </c>
    </row>
    <row r="413">
      <c r="A413" t="n">
        <v>2639</v>
      </c>
      <c r="B413" t="n">
        <v>62.8</v>
      </c>
    </row>
    <row r="414">
      <c r="A414" t="n">
        <v>1904</v>
      </c>
      <c r="B414" t="n">
        <v>59.5</v>
      </c>
    </row>
    <row r="415">
      <c r="A415" t="n">
        <v>4076</v>
      </c>
      <c r="B415" t="n">
        <v>56.2</v>
      </c>
    </row>
    <row r="416">
      <c r="A416" t="n">
        <v>12448</v>
      </c>
      <c r="B416" t="n">
        <v>56.1</v>
      </c>
    </row>
    <row r="417">
      <c r="A417" t="n">
        <v>10925</v>
      </c>
      <c r="B417" t="n">
        <v>56.1</v>
      </c>
    </row>
    <row r="418">
      <c r="A418" t="n">
        <v>5279</v>
      </c>
      <c r="B418" t="n">
        <v>55.8</v>
      </c>
    </row>
    <row r="419">
      <c r="A419" t="n">
        <v>20437</v>
      </c>
      <c r="B419" t="n">
        <v>55.7</v>
      </c>
    </row>
    <row r="420">
      <c r="A420" t="n">
        <v>8355</v>
      </c>
      <c r="B420" t="n">
        <v>55.3</v>
      </c>
    </row>
    <row r="421">
      <c r="A421" t="n">
        <v>12165</v>
      </c>
      <c r="B421" t="n">
        <v>55.1</v>
      </c>
    </row>
    <row r="422">
      <c r="A422" t="n">
        <v>1325</v>
      </c>
      <c r="B422" t="n">
        <v>53.9</v>
      </c>
    </row>
    <row r="423">
      <c r="A423" t="n">
        <v>12934</v>
      </c>
      <c r="B423" t="n">
        <v>53.2</v>
      </c>
    </row>
    <row r="424">
      <c r="A424" t="n">
        <v>10772</v>
      </c>
      <c r="B424" t="n">
        <v>52.8</v>
      </c>
    </row>
    <row r="425">
      <c r="A425" t="n">
        <v>12328</v>
      </c>
      <c r="B425" t="n">
        <v>52.2</v>
      </c>
    </row>
    <row r="426">
      <c r="A426" t="n">
        <v>1134</v>
      </c>
      <c r="B426" t="n">
        <v>49.8</v>
      </c>
    </row>
    <row r="427">
      <c r="A427" t="n">
        <v>7427</v>
      </c>
      <c r="B427" t="n">
        <v>47.7</v>
      </c>
    </row>
    <row r="428">
      <c r="A428" t="n">
        <v>5159</v>
      </c>
      <c r="B428" t="n">
        <v>47.4</v>
      </c>
    </row>
    <row r="429">
      <c r="A429" t="n">
        <v>55246</v>
      </c>
      <c r="B429" t="n">
        <v>46.4</v>
      </c>
    </row>
    <row r="430">
      <c r="A430" t="n">
        <v>7580</v>
      </c>
      <c r="B430" t="n">
        <v>45.2</v>
      </c>
    </row>
    <row r="431">
      <c r="A431" t="n">
        <v>1787</v>
      </c>
      <c r="B431" t="n">
        <v>44.9</v>
      </c>
    </row>
    <row r="432">
      <c r="A432" t="n">
        <v>4680</v>
      </c>
      <c r="B432" t="n">
        <v>44.9</v>
      </c>
    </row>
    <row r="433">
      <c r="A433" t="n">
        <v>6354</v>
      </c>
      <c r="B433" t="n">
        <v>44</v>
      </c>
    </row>
    <row r="434">
      <c r="A434" t="n">
        <v>1556</v>
      </c>
      <c r="B434" t="n">
        <v>43.6</v>
      </c>
    </row>
    <row r="435">
      <c r="A435" t="n">
        <v>4547</v>
      </c>
      <c r="B435" t="n">
        <v>42.2</v>
      </c>
    </row>
    <row r="436">
      <c r="A436" t="n">
        <v>30094</v>
      </c>
      <c r="B436" t="n">
        <v>42</v>
      </c>
    </row>
    <row r="437">
      <c r="A437" t="n">
        <v>17104</v>
      </c>
      <c r="B437" t="n">
        <v>41.8</v>
      </c>
    </row>
    <row r="438">
      <c r="A438" t="n">
        <v>9298</v>
      </c>
      <c r="B438" t="n">
        <v>41.1</v>
      </c>
    </row>
    <row r="439">
      <c r="A439" t="n">
        <v>18070</v>
      </c>
      <c r="B439" t="n">
        <v>40.6</v>
      </c>
    </row>
    <row r="440">
      <c r="A440" t="n">
        <v>19641</v>
      </c>
      <c r="B440" t="n">
        <v>40.2</v>
      </c>
    </row>
    <row r="441">
      <c r="A441" t="n">
        <v>12769</v>
      </c>
      <c r="B441" t="n">
        <v>39.5</v>
      </c>
    </row>
    <row r="442">
      <c r="A442" t="n">
        <v>13390</v>
      </c>
      <c r="B442" t="n">
        <v>38.7</v>
      </c>
    </row>
    <row r="443">
      <c r="A443" t="n">
        <v>2059</v>
      </c>
      <c r="B443" t="n">
        <v>38.1</v>
      </c>
    </row>
    <row r="444">
      <c r="A444" t="n">
        <v>4199</v>
      </c>
      <c r="B444" t="n">
        <v>37</v>
      </c>
    </row>
    <row r="445">
      <c r="A445" t="n">
        <v>23154</v>
      </c>
      <c r="B445" t="n">
        <v>36.1</v>
      </c>
    </row>
    <row r="446">
      <c r="A446" t="n">
        <v>2784</v>
      </c>
      <c r="B446" t="n">
        <v>36</v>
      </c>
    </row>
    <row r="447">
      <c r="A447" t="n">
        <v>1226</v>
      </c>
      <c r="B447" t="n">
        <v>34.9</v>
      </c>
    </row>
    <row r="448">
      <c r="A448" t="n">
        <v>12871</v>
      </c>
      <c r="B448" t="n">
        <v>34.5</v>
      </c>
    </row>
    <row r="449">
      <c r="A449" t="n">
        <v>1652</v>
      </c>
      <c r="B449" t="n">
        <v>33.2</v>
      </c>
    </row>
    <row r="450">
      <c r="A450" t="n">
        <v>23297</v>
      </c>
      <c r="B450" t="n">
        <v>32.9</v>
      </c>
    </row>
    <row r="451">
      <c r="A451" t="n">
        <v>6130</v>
      </c>
      <c r="B451" t="n">
        <v>32.3</v>
      </c>
    </row>
    <row r="452">
      <c r="A452" t="n">
        <v>2349</v>
      </c>
      <c r="B452" t="n">
        <v>31.4</v>
      </c>
    </row>
    <row r="453">
      <c r="A453" t="n">
        <v>606</v>
      </c>
      <c r="B453" t="n">
        <v>29.6</v>
      </c>
    </row>
    <row r="454">
      <c r="A454" t="n">
        <v>1489</v>
      </c>
      <c r="B454" t="n">
        <v>28.7</v>
      </c>
    </row>
    <row r="455">
      <c r="A455" t="n">
        <v>3245</v>
      </c>
      <c r="B455" t="n">
        <v>27</v>
      </c>
    </row>
    <row r="456">
      <c r="A456" t="n">
        <v>6004</v>
      </c>
      <c r="B456" t="n">
        <v>25.7</v>
      </c>
    </row>
    <row r="457">
      <c r="A457" t="n">
        <v>2008</v>
      </c>
      <c r="B457" t="n">
        <v>25.4</v>
      </c>
    </row>
    <row r="458">
      <c r="A458" t="n">
        <v>4882</v>
      </c>
      <c r="B458" t="n">
        <v>24.8</v>
      </c>
    </row>
    <row r="459">
      <c r="A459" t="n">
        <v>32437</v>
      </c>
      <c r="B459" t="n">
        <v>23.2</v>
      </c>
    </row>
    <row r="460">
      <c r="A460" t="n">
        <v>11734</v>
      </c>
      <c r="B460" t="n">
        <v>20.6</v>
      </c>
    </row>
    <row r="461">
      <c r="A461" t="n">
        <v>40184</v>
      </c>
      <c r="B461" t="n">
        <v>20.4</v>
      </c>
    </row>
    <row r="462">
      <c r="A462" t="n">
        <v>1000</v>
      </c>
      <c r="B462" t="n">
        <v>18.4</v>
      </c>
    </row>
    <row r="463">
      <c r="A463" t="n">
        <v>22886</v>
      </c>
      <c r="B463" t="n">
        <v>16.5</v>
      </c>
    </row>
    <row r="464">
      <c r="A464" t="n">
        <v>10877</v>
      </c>
      <c r="B464" t="n">
        <v>16.3</v>
      </c>
    </row>
    <row r="465">
      <c r="A465" t="n">
        <v>12658</v>
      </c>
      <c r="B465" t="n">
        <v>15.8</v>
      </c>
    </row>
    <row r="466">
      <c r="A466" t="n">
        <v>7341</v>
      </c>
      <c r="B466" t="n">
        <v>15.7</v>
      </c>
    </row>
    <row r="467">
      <c r="A467" t="n">
        <v>10715</v>
      </c>
      <c r="B467" t="n">
        <v>14.7</v>
      </c>
    </row>
  </sheetData>
  <pageMargins left="0.75" right="0.75" top="1" bottom="1" header="0.5" footer="0.5"/>
</worksheet>
</file>

<file path=xl/worksheets/sheet4.xml><?xml version="1.0" encoding="utf-8"?>
<worksheet xmlns="http://schemas.openxmlformats.org/spreadsheetml/2006/main">
  <sheetPr>
    <tabColor rgb="0000897B"/>
    <outlinePr summaryBelow="1" summaryRight="1"/>
    <pageSetUpPr/>
  </sheetPr>
  <dimension ref="A1:M137"/>
  <sheetViews>
    <sheetView workbookViewId="0">
      <selection activeCell="A1" sqref="A1"/>
    </sheetView>
  </sheetViews>
  <sheetFormatPr baseColWidth="8" defaultRowHeight="15"/>
  <cols>
    <col width="12" customWidth="1" min="1" max="1"/>
    <col width="35" customWidth="1" min="2" max="2"/>
    <col width="25" customWidth="1" min="3" max="3"/>
    <col width="12" customWidth="1" min="4" max="4"/>
    <col width="22" customWidth="1" min="5" max="5"/>
    <col width="12" customWidth="1" min="6" max="6"/>
    <col width="12" customWidth="1" min="7" max="7"/>
    <col width="12" customWidth="1" min="8" max="8"/>
    <col width="12" customWidth="1" min="9" max="9"/>
    <col width="12" customWidth="1" min="10" max="10"/>
    <col width="12" customWidth="1" min="11" max="11"/>
    <col width="28" customWidth="1" min="12" max="12"/>
    <col width="12" customWidth="1" min="13" max="13"/>
  </cols>
  <sheetData>
    <row r="1" ht="30" customHeight="1">
      <c r="A1" s="22" t="inlineStr">
        <is>
          <t>FUND UNIVERSE — All 133 Funds with Gate Status</t>
        </is>
      </c>
    </row>
    <row r="3" ht="30" customHeight="1">
      <c r="A3" s="3" t="inlineStr">
        <is>
          <t>FUND UNIVERSE</t>
        </is>
      </c>
      <c r="B3" s="31" t="n"/>
      <c r="C3" s="31" t="n"/>
      <c r="D3" s="31" t="n"/>
      <c r="E3" s="31" t="n"/>
      <c r="F3" s="31" t="n"/>
      <c r="G3" s="31" t="n"/>
      <c r="H3" s="31" t="n"/>
      <c r="I3" s="31" t="n"/>
      <c r="J3" s="31" t="n"/>
      <c r="K3" s="31" t="n"/>
      <c r="L3" s="31" t="n"/>
      <c r="M3" s="32" t="n"/>
    </row>
    <row r="4" ht="30" customHeight="1">
      <c r="A4" s="4" t="inlineStr">
        <is>
          <t>#</t>
        </is>
      </c>
      <c r="B4" s="4" t="inlineStr">
        <is>
          <t>Scheme Name</t>
        </is>
      </c>
      <c r="C4" s="4" t="inlineStr">
        <is>
          <t>AMC</t>
        </is>
      </c>
      <c r="D4" s="4" t="inlineStr">
        <is>
          <t>Category</t>
        </is>
      </c>
      <c r="E4" s="4" t="inlineStr">
        <is>
          <t>Benchmark</t>
        </is>
      </c>
      <c r="F4" s="4" t="inlineStr">
        <is>
          <t>AUM (Cr)</t>
        </is>
      </c>
      <c r="G4" s="4" t="inlineStr">
        <is>
          <t>Age (Yrs)</t>
        </is>
      </c>
      <c r="H4" s="4" t="inlineStr">
        <is>
          <t>3Y CAGR</t>
        </is>
      </c>
      <c r="I4" s="4" t="inlineStr">
        <is>
          <t>5Y CAGR</t>
        </is>
      </c>
      <c r="J4" s="4" t="inlineStr">
        <is>
          <t>Expense Ratio</t>
        </is>
      </c>
      <c r="K4" s="4" t="inlineStr">
        <is>
          <t>Gate Result</t>
        </is>
      </c>
      <c r="L4" s="4" t="inlineStr">
        <is>
          <t>Gate Reason</t>
        </is>
      </c>
      <c r="M4" s="4" t="inlineStr">
        <is>
          <t>Scored</t>
        </is>
      </c>
    </row>
    <row r="5" ht="30" customHeight="1">
      <c r="A5" s="14" t="n">
        <v>1</v>
      </c>
      <c r="B5" s="16" t="inlineStr">
        <is>
          <t>Parag Parikh Flexi Cap Fund-Reg(G)</t>
        </is>
      </c>
      <c r="C5" s="16" t="inlineStr">
        <is>
          <t>PPFAS Asset Management Pvt. Ltd.</t>
        </is>
      </c>
      <c r="D5" s="14" t="inlineStr">
        <is>
          <t>Flexi Cap</t>
        </is>
      </c>
      <c r="E5" s="16" t="inlineStr">
        <is>
          <t>NIFTY 500 - TRI</t>
        </is>
      </c>
      <c r="F5" s="14" t="n">
        <v>134253</v>
      </c>
      <c r="G5" s="14" t="n">
        <v>12.9</v>
      </c>
      <c r="H5" s="14" t="n">
        <v>17.29</v>
      </c>
      <c r="I5" s="14" t="n">
        <v>16.02</v>
      </c>
      <c r="J5" s="14" t="n">
        <v>1.28</v>
      </c>
      <c r="K5" s="23" t="inlineStr">
        <is>
          <t>AUM &gt; 50000 Cr</t>
        </is>
      </c>
      <c r="L5" s="16" t="inlineStr"/>
      <c r="M5" s="14" t="inlineStr">
        <is>
          <t>No</t>
        </is>
      </c>
    </row>
    <row r="6" ht="30" customHeight="1">
      <c r="A6" s="8" t="n">
        <v>2</v>
      </c>
      <c r="B6" s="11" t="inlineStr">
        <is>
          <t>HDFC Flexi Cap Fund(G)</t>
        </is>
      </c>
      <c r="C6" s="11" t="inlineStr">
        <is>
          <t>HDFC Asset Management Company Limited</t>
        </is>
      </c>
      <c r="D6" s="8" t="inlineStr">
        <is>
          <t>Flexi Cap</t>
        </is>
      </c>
      <c r="E6" s="11" t="inlineStr">
        <is>
          <t>NIFTY 500 - TRI</t>
        </is>
      </c>
      <c r="F6" s="8" t="n">
        <v>100455</v>
      </c>
      <c r="G6" s="8" t="n">
        <v>31.3</v>
      </c>
      <c r="H6" s="8" t="n">
        <v>19.11</v>
      </c>
      <c r="I6" s="8" t="n">
        <v>18.72</v>
      </c>
      <c r="J6" s="8" t="n">
        <v>1.34</v>
      </c>
      <c r="K6" s="23" t="inlineStr">
        <is>
          <t>AUM &gt; 50000 Cr</t>
        </is>
      </c>
      <c r="L6" s="11" t="inlineStr"/>
      <c r="M6" s="8" t="inlineStr">
        <is>
          <t>No</t>
        </is>
      </c>
    </row>
    <row r="7" ht="30" customHeight="1">
      <c r="A7" s="14" t="n">
        <v>3</v>
      </c>
      <c r="B7" s="16" t="inlineStr">
        <is>
          <t>Kotak Flexicap Fund(G)</t>
        </is>
      </c>
      <c r="C7" s="16" t="inlineStr">
        <is>
          <t>Kotak Mahindra Asset Management Company Limited</t>
        </is>
      </c>
      <c r="D7" s="14" t="inlineStr">
        <is>
          <t>Flexi Cap</t>
        </is>
      </c>
      <c r="E7" s="16" t="inlineStr">
        <is>
          <t>NIFTY 500 - TRI</t>
        </is>
      </c>
      <c r="F7" s="14" t="n">
        <v>56853</v>
      </c>
      <c r="G7" s="14" t="n">
        <v>16.6</v>
      </c>
      <c r="H7" s="14" t="n">
        <v>14.7</v>
      </c>
      <c r="I7" s="14" t="n">
        <v>12.09</v>
      </c>
      <c r="J7" s="14" t="n">
        <v>1.43</v>
      </c>
      <c r="K7" s="23" t="inlineStr">
        <is>
          <t>AUM &gt; 50000 Cr</t>
        </is>
      </c>
      <c r="L7" s="16" t="inlineStr"/>
      <c r="M7" s="14" t="inlineStr">
        <is>
          <t>No</t>
        </is>
      </c>
    </row>
    <row r="8" ht="30" customHeight="1">
      <c r="A8" s="8" t="n">
        <v>4</v>
      </c>
      <c r="B8" s="11" t="inlineStr">
        <is>
          <t>Aditya Birla SL Flexi Cap Fund-Reg(G)</t>
        </is>
      </c>
      <c r="C8" s="11" t="inlineStr">
        <is>
          <t>Aditya Birla Sun Life AMC Limited</t>
        </is>
      </c>
      <c r="D8" s="8" t="inlineStr">
        <is>
          <t>Flexi Cap</t>
        </is>
      </c>
      <c r="E8" s="11" t="inlineStr">
        <is>
          <t>NIFTY 500 - TRI</t>
        </is>
      </c>
      <c r="F8" s="8" t="n">
        <v>25207</v>
      </c>
      <c r="G8" s="8" t="n">
        <v>27.6</v>
      </c>
      <c r="H8" s="8" t="n">
        <v>16.73</v>
      </c>
      <c r="I8" s="8" t="n">
        <v>12.88</v>
      </c>
      <c r="J8" s="8" t="n">
        <v>1.65</v>
      </c>
      <c r="K8" s="23" t="inlineStr">
        <is>
          <t>PASS</t>
        </is>
      </c>
      <c r="L8" s="11" t="inlineStr"/>
      <c r="M8" s="8" t="inlineStr">
        <is>
          <t>Yes</t>
        </is>
      </c>
    </row>
    <row r="9" ht="30" customHeight="1">
      <c r="A9" s="14" t="n">
        <v>5</v>
      </c>
      <c r="B9" s="16" t="inlineStr">
        <is>
          <t>SBI Flexicap Fund-Reg(G)</t>
        </is>
      </c>
      <c r="C9" s="16" t="inlineStr">
        <is>
          <t>SBI Funds Management Limited</t>
        </is>
      </c>
      <c r="D9" s="14" t="inlineStr">
        <is>
          <t>Flexi Cap</t>
        </is>
      </c>
      <c r="E9" s="16" t="inlineStr">
        <is>
          <t>BSE 500 - TRI</t>
        </is>
      </c>
      <c r="F9" s="14" t="n">
        <v>23297</v>
      </c>
      <c r="G9" s="14" t="n">
        <v>20.5</v>
      </c>
      <c r="H9" s="14" t="n">
        <v>11.01</v>
      </c>
      <c r="I9" s="14" t="n">
        <v>9.85</v>
      </c>
      <c r="J9" s="14" t="n">
        <v>1.66</v>
      </c>
      <c r="K9" s="23" t="inlineStr">
        <is>
          <t>PASS</t>
        </is>
      </c>
      <c r="L9" s="16" t="inlineStr"/>
      <c r="M9" s="14" t="inlineStr">
        <is>
          <t>Yes</t>
        </is>
      </c>
    </row>
    <row r="10" ht="30" customHeight="1">
      <c r="A10" s="8" t="n">
        <v>6</v>
      </c>
      <c r="B10" s="11" t="inlineStr">
        <is>
          <t>UTI Flexi Cap Fund-Reg(IDCW)</t>
        </is>
      </c>
      <c r="C10" s="11" t="inlineStr">
        <is>
          <t>UTI Asset Management Company Private Limited</t>
        </is>
      </c>
      <c r="D10" s="8" t="inlineStr">
        <is>
          <t>Flexi Cap</t>
        </is>
      </c>
      <c r="E10" s="11" t="inlineStr">
        <is>
          <t>NIFTY 500 - TRI</t>
        </is>
      </c>
      <c r="F10" s="8" t="n">
        <v>22886</v>
      </c>
      <c r="G10" s="8" t="n">
        <v>33.9</v>
      </c>
      <c r="H10" s="8" t="n">
        <v>8.32</v>
      </c>
      <c r="I10" s="8" t="n">
        <v>5.58</v>
      </c>
      <c r="J10" s="8" t="n">
        <v>1.68</v>
      </c>
      <c r="K10" s="23" t="inlineStr">
        <is>
          <t>PASS</t>
        </is>
      </c>
      <c r="L10" s="11" t="inlineStr"/>
      <c r="M10" s="8" t="inlineStr">
        <is>
          <t>Yes</t>
        </is>
      </c>
    </row>
    <row r="11" ht="30" customHeight="1">
      <c r="A11" s="14" t="n">
        <v>7</v>
      </c>
      <c r="B11" s="16" t="inlineStr">
        <is>
          <t>ICICI Pru Flexicap Fund(G)</t>
        </is>
      </c>
      <c r="C11" s="16" t="inlineStr">
        <is>
          <t>ICICI Prudential Asset Management Company Limited</t>
        </is>
      </c>
      <c r="D11" s="14" t="inlineStr">
        <is>
          <t>Flexi Cap</t>
        </is>
      </c>
      <c r="E11" s="16" t="inlineStr">
        <is>
          <t>BSE 500 - TRI</t>
        </is>
      </c>
      <c r="F11" s="14" t="n">
        <v>20437</v>
      </c>
      <c r="G11" s="14" t="n">
        <v>4.7</v>
      </c>
      <c r="H11" s="14" t="n">
        <v>16.73</v>
      </c>
      <c r="I11" s="14" t="inlineStr"/>
      <c r="J11" s="14" t="n">
        <v>1.67</v>
      </c>
      <c r="K11" s="23" t="inlineStr">
        <is>
          <t>PASS</t>
        </is>
      </c>
      <c r="L11" s="16" t="inlineStr"/>
      <c r="M11" s="14" t="inlineStr">
        <is>
          <t>Yes</t>
        </is>
      </c>
    </row>
    <row r="12" ht="30" customHeight="1">
      <c r="A12" s="8" t="n">
        <v>8</v>
      </c>
      <c r="B12" s="11" t="inlineStr">
        <is>
          <t>Franklin India Flexi Cap Fund(G)</t>
        </is>
      </c>
      <c r="C12" s="11" t="inlineStr">
        <is>
          <t>Franklin Templeton Asset Management (India) Private Limited</t>
        </is>
      </c>
      <c r="D12" s="8" t="inlineStr">
        <is>
          <t>Flexi Cap</t>
        </is>
      </c>
      <c r="E12" s="11" t="inlineStr">
        <is>
          <t>NIFTY 500 - TRI</t>
        </is>
      </c>
      <c r="F12" s="8" t="n">
        <v>19598</v>
      </c>
      <c r="G12" s="8" t="n">
        <v>31.5</v>
      </c>
      <c r="H12" s="8" t="n">
        <v>15.97</v>
      </c>
      <c r="I12" s="8" t="n">
        <v>14.24</v>
      </c>
      <c r="J12" s="8" t="n">
        <v>1.69</v>
      </c>
      <c r="K12" s="23" t="inlineStr">
        <is>
          <t>PASS</t>
        </is>
      </c>
      <c r="L12" s="11" t="inlineStr"/>
      <c r="M12" s="8" t="inlineStr">
        <is>
          <t>Yes</t>
        </is>
      </c>
    </row>
    <row r="13" ht="30" customHeight="1">
      <c r="A13" s="14" t="n">
        <v>9</v>
      </c>
      <c r="B13" s="16" t="inlineStr">
        <is>
          <t>Canara Rob Flexi Cap Fund-Reg(G)</t>
        </is>
      </c>
      <c r="C13" s="16" t="inlineStr">
        <is>
          <t>Canara Robeco Asset Management Company Limited</t>
        </is>
      </c>
      <c r="D13" s="14" t="inlineStr">
        <is>
          <t>Flexi Cap</t>
        </is>
      </c>
      <c r="E13" s="16" t="inlineStr">
        <is>
          <t>BSE 500 - TRI</t>
        </is>
      </c>
      <c r="F13" s="14" t="n">
        <v>13390</v>
      </c>
      <c r="G13" s="14" t="n">
        <v>22.6</v>
      </c>
      <c r="H13" s="14" t="n">
        <v>13.28</v>
      </c>
      <c r="I13" s="14" t="n">
        <v>11.22</v>
      </c>
      <c r="J13" s="14" t="n">
        <v>1.69</v>
      </c>
      <c r="K13" s="23" t="inlineStr">
        <is>
          <t>PASS</t>
        </is>
      </c>
      <c r="L13" s="16" t="inlineStr"/>
      <c r="M13" s="14" t="inlineStr">
        <is>
          <t>Yes</t>
        </is>
      </c>
    </row>
    <row r="14" ht="30" customHeight="1">
      <c r="A14" s="8" t="n">
        <v>10</v>
      </c>
      <c r="B14" s="11" t="inlineStr">
        <is>
          <t>Motilal Oswal Flexi Cap Fund-Reg(G)</t>
        </is>
      </c>
      <c r="C14" s="11" t="inlineStr">
        <is>
          <t>Motilal Oswal Asset Management Company Limited</t>
        </is>
      </c>
      <c r="D14" s="8" t="inlineStr">
        <is>
          <t>Flexi Cap</t>
        </is>
      </c>
      <c r="E14" s="11" t="inlineStr">
        <is>
          <t>NIFTY 500 - TRI</t>
        </is>
      </c>
      <c r="F14" s="8" t="n">
        <v>12890</v>
      </c>
      <c r="G14" s="8" t="n">
        <v>11.9</v>
      </c>
      <c r="H14" s="8" t="n">
        <v>19.48</v>
      </c>
      <c r="I14" s="8" t="n">
        <v>10.94</v>
      </c>
      <c r="J14" s="8" t="n">
        <v>1.71</v>
      </c>
      <c r="K14" s="23" t="inlineStr">
        <is>
          <t>PASS</t>
        </is>
      </c>
      <c r="L14" s="11" t="inlineStr"/>
      <c r="M14" s="8" t="inlineStr">
        <is>
          <t>Yes</t>
        </is>
      </c>
    </row>
    <row r="15" ht="30" customHeight="1">
      <c r="A15" s="14" t="n">
        <v>11</v>
      </c>
      <c r="B15" s="16" t="inlineStr">
        <is>
          <t>Axis Flexi Cap Fund-Reg(G)</t>
        </is>
      </c>
      <c r="C15" s="16" t="inlineStr">
        <is>
          <t>Axis Asset Management Company Ltd.</t>
        </is>
      </c>
      <c r="D15" s="14" t="inlineStr">
        <is>
          <t>Flexi Cap</t>
        </is>
      </c>
      <c r="E15" s="16" t="inlineStr">
        <is>
          <t>NIFTY 500 - TRI</t>
        </is>
      </c>
      <c r="F15" s="14" t="n">
        <v>12871</v>
      </c>
      <c r="G15" s="14" t="n">
        <v>8.4</v>
      </c>
      <c r="H15" s="14" t="n">
        <v>13.53</v>
      </c>
      <c r="I15" s="14" t="n">
        <v>9.43</v>
      </c>
      <c r="J15" s="14" t="n">
        <v>1.72</v>
      </c>
      <c r="K15" s="23" t="inlineStr">
        <is>
          <t>PASS</t>
        </is>
      </c>
      <c r="L15" s="16" t="inlineStr"/>
      <c r="M15" s="14" t="inlineStr">
        <is>
          <t>Yes</t>
        </is>
      </c>
    </row>
    <row r="16" ht="30" customHeight="1">
      <c r="A16" s="8" t="n">
        <v>12</v>
      </c>
      <c r="B16" s="11" t="inlineStr">
        <is>
          <t>DSP Flexi Cap Fund-Reg(IDCW)</t>
        </is>
      </c>
      <c r="C16" s="11" t="inlineStr">
        <is>
          <t>DSP Investment Managers Private Limited</t>
        </is>
      </c>
      <c r="D16" s="8" t="inlineStr">
        <is>
          <t>Flexi Cap</t>
        </is>
      </c>
      <c r="E16" s="11" t="inlineStr">
        <is>
          <t>NIFTY 500 - TRI</t>
        </is>
      </c>
      <c r="F16" s="8" t="n">
        <v>12165</v>
      </c>
      <c r="G16" s="8" t="n">
        <v>28.9</v>
      </c>
      <c r="H16" s="8" t="n">
        <v>15.08</v>
      </c>
      <c r="I16" s="8" t="n">
        <v>11.33</v>
      </c>
      <c r="J16" s="8" t="n">
        <v>1.72</v>
      </c>
      <c r="K16" s="23" t="inlineStr">
        <is>
          <t>PASS</t>
        </is>
      </c>
      <c r="L16" s="11" t="inlineStr"/>
      <c r="M16" s="8" t="inlineStr">
        <is>
          <t>Yes</t>
        </is>
      </c>
    </row>
    <row r="17" ht="30" customHeight="1">
      <c r="A17" s="14" t="n">
        <v>13</v>
      </c>
      <c r="B17" s="16" t="inlineStr">
        <is>
          <t>Nippon India Flexi Cap Fund-Reg(G)</t>
        </is>
      </c>
      <c r="C17" s="16" t="inlineStr">
        <is>
          <t>Nippon Life India Asset Management Limited</t>
        </is>
      </c>
      <c r="D17" s="14" t="inlineStr">
        <is>
          <t>Flexi Cap</t>
        </is>
      </c>
      <c r="E17" s="16" t="inlineStr">
        <is>
          <t>NIFTY 500 - TRI</t>
        </is>
      </c>
      <c r="F17" s="14" t="n">
        <v>9298</v>
      </c>
      <c r="G17" s="14" t="n">
        <v>4.6</v>
      </c>
      <c r="H17" s="14" t="n">
        <v>13.8</v>
      </c>
      <c r="I17" s="14" t="inlineStr"/>
      <c r="J17" s="14" t="n">
        <v>1.73</v>
      </c>
      <c r="K17" s="23" t="inlineStr">
        <is>
          <t>PASS</t>
        </is>
      </c>
      <c r="L17" s="16" t="inlineStr"/>
      <c r="M17" s="14" t="inlineStr">
        <is>
          <t>Yes</t>
        </is>
      </c>
    </row>
    <row r="18" ht="30" customHeight="1">
      <c r="A18" s="8" t="n">
        <v>14</v>
      </c>
      <c r="B18" s="11" t="inlineStr">
        <is>
          <t>Bandhan Flexi Cap Fund-Reg(G)</t>
        </is>
      </c>
      <c r="C18" s="11" t="inlineStr">
        <is>
          <t>Bandhan AMC Limited</t>
        </is>
      </c>
      <c r="D18" s="8" t="inlineStr">
        <is>
          <t>Flexi Cap</t>
        </is>
      </c>
      <c r="E18" s="11" t="inlineStr">
        <is>
          <t>BSE 500 - TRI</t>
        </is>
      </c>
      <c r="F18" s="8" t="n">
        <v>7427</v>
      </c>
      <c r="G18" s="8" t="n">
        <v>20.5</v>
      </c>
      <c r="H18" s="8" t="n">
        <v>14.36</v>
      </c>
      <c r="I18" s="8" t="n">
        <v>11.46</v>
      </c>
      <c r="J18" s="8" t="n">
        <v>1.86</v>
      </c>
      <c r="K18" s="23" t="inlineStr">
        <is>
          <t>PASS</t>
        </is>
      </c>
      <c r="L18" s="11" t="inlineStr"/>
      <c r="M18" s="8" t="inlineStr">
        <is>
          <t>Yes</t>
        </is>
      </c>
    </row>
    <row r="19" ht="30" customHeight="1">
      <c r="A19" s="14" t="n">
        <v>15</v>
      </c>
      <c r="B19" s="16" t="inlineStr">
        <is>
          <t>WOC Flexi Cap Fund-Reg(G)</t>
        </is>
      </c>
      <c r="C19" s="16" t="inlineStr">
        <is>
          <t>WhiteOak Capital Asset Management Limited</t>
        </is>
      </c>
      <c r="D19" s="14" t="inlineStr">
        <is>
          <t>Flexi Cap</t>
        </is>
      </c>
      <c r="E19" s="16" t="inlineStr">
        <is>
          <t>BSE 500 - TRI</t>
        </is>
      </c>
      <c r="F19" s="14" t="n">
        <v>7287</v>
      </c>
      <c r="G19" s="14" t="n">
        <v>3.7</v>
      </c>
      <c r="H19" s="14" t="n">
        <v>17.4</v>
      </c>
      <c r="I19" s="14" t="inlineStr"/>
      <c r="J19" s="14" t="n">
        <v>1.77</v>
      </c>
      <c r="K19" s="23" t="inlineStr">
        <is>
          <t>PASS</t>
        </is>
      </c>
      <c r="L19" s="16" t="inlineStr"/>
      <c r="M19" s="14" t="inlineStr">
        <is>
          <t>Yes</t>
        </is>
      </c>
    </row>
    <row r="20" ht="30" customHeight="1">
      <c r="A20" s="8" t="n">
        <v>16</v>
      </c>
      <c r="B20" s="11" t="inlineStr">
        <is>
          <t>Bajaj Finserv Flexi Cap Fund-Reg(G)</t>
        </is>
      </c>
      <c r="C20" s="11" t="inlineStr">
        <is>
          <t>Bajaj Finserv Asset Management Limited</t>
        </is>
      </c>
      <c r="D20" s="8" t="inlineStr">
        <is>
          <t>Flexi Cap</t>
        </is>
      </c>
      <c r="E20" s="11" t="inlineStr">
        <is>
          <t>BSE 500 - TRI</t>
        </is>
      </c>
      <c r="F20" s="8" t="n">
        <v>6501</v>
      </c>
      <c r="G20" s="8" t="n">
        <v>2.6</v>
      </c>
      <c r="H20" s="8" t="inlineStr"/>
      <c r="I20" s="8" t="inlineStr"/>
      <c r="J20" s="8" t="n">
        <v>1.78</v>
      </c>
      <c r="K20" s="23" t="inlineStr">
        <is>
          <t>Track record &lt; 3.0Y; No 3Y return data</t>
        </is>
      </c>
      <c r="L20" s="11" t="inlineStr"/>
      <c r="M20" s="8" t="inlineStr">
        <is>
          <t>No</t>
        </is>
      </c>
    </row>
    <row r="21" ht="30" customHeight="1">
      <c r="A21" s="14" t="n">
        <v>17</v>
      </c>
      <c r="B21" s="16" t="inlineStr">
        <is>
          <t>Quant Flexi Cap Fund(G)</t>
        </is>
      </c>
      <c r="C21" s="16" t="inlineStr">
        <is>
          <t>Quant Money Managers Limited</t>
        </is>
      </c>
      <c r="D21" s="14" t="inlineStr">
        <is>
          <t>Flexi Cap</t>
        </is>
      </c>
      <c r="E21" s="16" t="inlineStr">
        <is>
          <t>NIFTY 500 - TRI</t>
        </is>
      </c>
      <c r="F21" s="14" t="n">
        <v>6354</v>
      </c>
      <c r="G21" s="14" t="n">
        <v>17.5</v>
      </c>
      <c r="H21" s="14" t="n">
        <v>16.1</v>
      </c>
      <c r="I21" s="14" t="n">
        <v>17.92</v>
      </c>
      <c r="J21" s="14" t="n">
        <v>1.83</v>
      </c>
      <c r="K21" s="23" t="inlineStr">
        <is>
          <t>PASS</t>
        </is>
      </c>
      <c r="L21" s="16" t="inlineStr"/>
      <c r="M21" s="14" t="inlineStr">
        <is>
          <t>Yes</t>
        </is>
      </c>
    </row>
    <row r="22" ht="30" customHeight="1">
      <c r="A22" s="8" t="n">
        <v>18</v>
      </c>
      <c r="B22" s="11" t="inlineStr">
        <is>
          <t>Helios Flexi Cap Fund-Reg(G)</t>
        </is>
      </c>
      <c r="C22" s="11" t="inlineStr">
        <is>
          <t>Helios Capital Asset Management (India) Private Limited</t>
        </is>
      </c>
      <c r="D22" s="8" t="inlineStr">
        <is>
          <t>Flexi Cap</t>
        </is>
      </c>
      <c r="E22" s="11" t="inlineStr">
        <is>
          <t>NIFTY 500 - TRI</t>
        </is>
      </c>
      <c r="F22" s="8" t="n">
        <v>6211</v>
      </c>
      <c r="G22" s="8" t="n">
        <v>2.4</v>
      </c>
      <c r="H22" s="8" t="inlineStr"/>
      <c r="I22" s="8" t="inlineStr"/>
      <c r="J22" s="8" t="n">
        <v>1.78</v>
      </c>
      <c r="K22" s="23" t="inlineStr">
        <is>
          <t>Track record &lt; 3.0Y; No 3Y return data</t>
        </is>
      </c>
      <c r="L22" s="11" t="inlineStr"/>
      <c r="M22" s="8" t="inlineStr">
        <is>
          <t>No</t>
        </is>
      </c>
    </row>
    <row r="23" ht="30" customHeight="1">
      <c r="A23" s="14" t="n">
        <v>19</v>
      </c>
      <c r="B23" s="16" t="inlineStr">
        <is>
          <t>PGIM India Flexi Cap Fund-Reg(G)</t>
        </is>
      </c>
      <c r="C23" s="16" t="inlineStr">
        <is>
          <t>PGIM India Asset Management Private Limited</t>
        </is>
      </c>
      <c r="D23" s="14" t="inlineStr">
        <is>
          <t>Flexi Cap</t>
        </is>
      </c>
      <c r="E23" s="16" t="inlineStr">
        <is>
          <t>NIFTY 500 - TRI</t>
        </is>
      </c>
      <c r="F23" s="14" t="n">
        <v>6004</v>
      </c>
      <c r="G23" s="14" t="n">
        <v>11.1</v>
      </c>
      <c r="H23" s="14" t="n">
        <v>10.82</v>
      </c>
      <c r="I23" s="14" t="n">
        <v>10.36</v>
      </c>
      <c r="J23" s="14" t="n">
        <v>1.79</v>
      </c>
      <c r="K23" s="23" t="inlineStr">
        <is>
          <t>PASS</t>
        </is>
      </c>
      <c r="L23" s="16" t="inlineStr"/>
      <c r="M23" s="14" t="inlineStr">
        <is>
          <t>Yes</t>
        </is>
      </c>
    </row>
    <row r="24" ht="30" customHeight="1">
      <c r="A24" s="8" t="n">
        <v>20</v>
      </c>
      <c r="B24" s="11" t="inlineStr">
        <is>
          <t>HSBC Flexi Cap Fund-Reg(G)</t>
        </is>
      </c>
      <c r="C24" s="11" t="inlineStr">
        <is>
          <t>HSBC Global Asset Management (India) Private Limited</t>
        </is>
      </c>
      <c r="D24" s="8" t="inlineStr">
        <is>
          <t>Flexi Cap</t>
        </is>
      </c>
      <c r="E24" s="11" t="inlineStr">
        <is>
          <t>NIFTY 500 - TRI</t>
        </is>
      </c>
      <c r="F24" s="8" t="n">
        <v>5279</v>
      </c>
      <c r="G24" s="8" t="n">
        <v>22.1</v>
      </c>
      <c r="H24" s="8" t="n">
        <v>16.46</v>
      </c>
      <c r="I24" s="8" t="n">
        <v>13.28</v>
      </c>
      <c r="J24" s="8" t="n">
        <v>1.93</v>
      </c>
      <c r="K24" s="23" t="inlineStr">
        <is>
          <t>PASS</t>
        </is>
      </c>
      <c r="L24" s="11" t="inlineStr"/>
      <c r="M24" s="8" t="inlineStr">
        <is>
          <t>Yes</t>
        </is>
      </c>
    </row>
    <row r="25" ht="30" customHeight="1">
      <c r="A25" s="14" t="n">
        <v>21</v>
      </c>
      <c r="B25" s="16" t="inlineStr">
        <is>
          <t>JM Flexicap Fund-Reg(G)</t>
        </is>
      </c>
      <c r="C25" s="16" t="inlineStr">
        <is>
          <t>JM Financial Asset Management Private Limited</t>
        </is>
      </c>
      <c r="D25" s="14" t="inlineStr">
        <is>
          <t>Flexi Cap</t>
        </is>
      </c>
      <c r="E25" s="16" t="inlineStr">
        <is>
          <t>BSE 500 - TRI</t>
        </is>
      </c>
      <c r="F25" s="14" t="n">
        <v>5159</v>
      </c>
      <c r="G25" s="14" t="n">
        <v>17.5</v>
      </c>
      <c r="H25" s="14" t="n">
        <v>17.36</v>
      </c>
      <c r="I25" s="14" t="n">
        <v>15.22</v>
      </c>
      <c r="J25" s="14" t="n">
        <v>1.84</v>
      </c>
      <c r="K25" s="23" t="inlineStr">
        <is>
          <t>PASS</t>
        </is>
      </c>
      <c r="L25" s="16" t="inlineStr"/>
      <c r="M25" s="14" t="inlineStr">
        <is>
          <t>Yes</t>
        </is>
      </c>
    </row>
    <row r="26" ht="30" customHeight="1">
      <c r="A26" s="8" t="n">
        <v>22</v>
      </c>
      <c r="B26" s="11" t="inlineStr">
        <is>
          <t>Invesco India Flexi Cap Fund-Reg(G)</t>
        </is>
      </c>
      <c r="C26" s="11" t="inlineStr">
        <is>
          <t>Invesco Asset Management Company Pvt Ltd.</t>
        </is>
      </c>
      <c r="D26" s="8" t="inlineStr">
        <is>
          <t>Flexi Cap</t>
        </is>
      </c>
      <c r="E26" s="11" t="inlineStr">
        <is>
          <t>BSE 500 - TRI</t>
        </is>
      </c>
      <c r="F26" s="8" t="n">
        <v>4680</v>
      </c>
      <c r="G26" s="8" t="n">
        <v>4.1</v>
      </c>
      <c r="H26" s="8" t="n">
        <v>17.47</v>
      </c>
      <c r="I26" s="8" t="inlineStr"/>
      <c r="J26" s="8" t="n">
        <v>1.84</v>
      </c>
      <c r="K26" s="23" t="inlineStr">
        <is>
          <t>PASS</t>
        </is>
      </c>
      <c r="L26" s="11" t="inlineStr"/>
      <c r="M26" s="8" t="inlineStr">
        <is>
          <t>Yes</t>
        </is>
      </c>
    </row>
    <row r="27" ht="30" customHeight="1">
      <c r="A27" s="14" t="n">
        <v>23</v>
      </c>
      <c r="B27" s="16" t="inlineStr">
        <is>
          <t>Tata Flexi Cap Fund-Reg(G)</t>
        </is>
      </c>
      <c r="C27" s="16" t="inlineStr">
        <is>
          <t>Tata Asset Management Private Limited</t>
        </is>
      </c>
      <c r="D27" s="14" t="inlineStr">
        <is>
          <t>Flexi Cap</t>
        </is>
      </c>
      <c r="E27" s="16" t="inlineStr">
        <is>
          <t>NIFTY 500 - TRI</t>
        </is>
      </c>
      <c r="F27" s="14" t="n">
        <v>3699</v>
      </c>
      <c r="G27" s="14" t="n">
        <v>7.6</v>
      </c>
      <c r="H27" s="14" t="n">
        <v>14.69</v>
      </c>
      <c r="I27" s="14" t="n">
        <v>10.77</v>
      </c>
      <c r="J27" s="14" t="n">
        <v>1.88</v>
      </c>
      <c r="K27" s="23" t="inlineStr">
        <is>
          <t>PASS</t>
        </is>
      </c>
      <c r="L27" s="16" t="inlineStr"/>
      <c r="M27" s="14" t="inlineStr">
        <is>
          <t>Yes</t>
        </is>
      </c>
    </row>
    <row r="28" ht="30" customHeight="1">
      <c r="A28" s="8" t="n">
        <v>24</v>
      </c>
      <c r="B28" s="11" t="inlineStr">
        <is>
          <t>Mirae Asset Flexi Cap Fund-Reg(G)</t>
        </is>
      </c>
      <c r="C28" s="11" t="inlineStr">
        <is>
          <t>Mirae Asset Investment Managers (India) Private Limited</t>
        </is>
      </c>
      <c r="D28" s="8" t="inlineStr">
        <is>
          <t>Flexi Cap</t>
        </is>
      </c>
      <c r="E28" s="11" t="inlineStr">
        <is>
          <t>NIFTY 500 - TRI</t>
        </is>
      </c>
      <c r="F28" s="8" t="n">
        <v>3656</v>
      </c>
      <c r="G28" s="8" t="n">
        <v>3.1</v>
      </c>
      <c r="H28" s="8" t="n">
        <v>14.71</v>
      </c>
      <c r="I28" s="8" t="inlineStr"/>
      <c r="J28" s="8" t="n">
        <v>1.87</v>
      </c>
      <c r="K28" s="23" t="inlineStr">
        <is>
          <t>PASS</t>
        </is>
      </c>
      <c r="L28" s="11" t="inlineStr"/>
      <c r="M28" s="8" t="inlineStr">
        <is>
          <t>Yes</t>
        </is>
      </c>
    </row>
    <row r="29" ht="30" customHeight="1">
      <c r="A29" s="14" t="n">
        <v>25</v>
      </c>
      <c r="B29" s="16" t="inlineStr">
        <is>
          <t>Edelweiss Flexi Cap Fund-Reg(G)</t>
        </is>
      </c>
      <c r="C29" s="16" t="inlineStr">
        <is>
          <t>Edelweiss Asset Management Limited</t>
        </is>
      </c>
      <c r="D29" s="14" t="inlineStr">
        <is>
          <t>Flexi Cap</t>
        </is>
      </c>
      <c r="E29" s="16" t="inlineStr">
        <is>
          <t>NIFTY 500 - TRI</t>
        </is>
      </c>
      <c r="F29" s="14" t="n">
        <v>3203</v>
      </c>
      <c r="G29" s="14" t="n">
        <v>11.2</v>
      </c>
      <c r="H29" s="14" t="n">
        <v>16.8</v>
      </c>
      <c r="I29" s="14" t="n">
        <v>13.94</v>
      </c>
      <c r="J29" s="14" t="n">
        <v>1.88</v>
      </c>
      <c r="K29" s="23" t="inlineStr">
        <is>
          <t>PASS</t>
        </is>
      </c>
      <c r="L29" s="16" t="inlineStr"/>
      <c r="M29" s="14" t="inlineStr">
        <is>
          <t>Yes</t>
        </is>
      </c>
    </row>
    <row r="30" ht="30" customHeight="1">
      <c r="A30" s="8" t="n">
        <v>26</v>
      </c>
      <c r="B30" s="11" t="inlineStr">
        <is>
          <t>NJ Flexi Cap Fund-Reg(G)</t>
        </is>
      </c>
      <c r="C30" s="11" t="inlineStr">
        <is>
          <t>NJ Asset Management Private Limited</t>
        </is>
      </c>
      <c r="D30" s="8" t="inlineStr">
        <is>
          <t>Flexi Cap</t>
        </is>
      </c>
      <c r="E30" s="11" t="inlineStr">
        <is>
          <t>NIFTY 500 - TRI</t>
        </is>
      </c>
      <c r="F30" s="8" t="n">
        <v>2494</v>
      </c>
      <c r="G30" s="8" t="n">
        <v>2.6</v>
      </c>
      <c r="H30" s="8" t="inlineStr"/>
      <c r="I30" s="8" t="inlineStr"/>
      <c r="J30" s="8" t="n">
        <v>1.96</v>
      </c>
      <c r="K30" s="23" t="inlineStr">
        <is>
          <t>Track record &lt; 3.0Y; No 3Y return data</t>
        </is>
      </c>
      <c r="L30" s="11" t="inlineStr"/>
      <c r="M30" s="8" t="inlineStr">
        <is>
          <t>No</t>
        </is>
      </c>
    </row>
    <row r="31" ht="30" customHeight="1">
      <c r="A31" s="14" t="n">
        <v>27</v>
      </c>
      <c r="B31" s="16" t="inlineStr">
        <is>
          <t>Union Flexi Cap Fund-Reg(G)</t>
        </is>
      </c>
      <c r="C31" s="16" t="inlineStr">
        <is>
          <t>Union Asset Management Company Pvt. Ltd.</t>
        </is>
      </c>
      <c r="D31" s="14" t="inlineStr">
        <is>
          <t>Flexi Cap</t>
        </is>
      </c>
      <c r="E31" s="16" t="inlineStr">
        <is>
          <t>BSE 500 - TRI</t>
        </is>
      </c>
      <c r="F31" s="14" t="n">
        <v>2349</v>
      </c>
      <c r="G31" s="14" t="n">
        <v>14.8</v>
      </c>
      <c r="H31" s="14" t="n">
        <v>13.53</v>
      </c>
      <c r="I31" s="14" t="n">
        <v>11.79</v>
      </c>
      <c r="J31" s="14" t="n">
        <v>2.02</v>
      </c>
      <c r="K31" s="23" t="inlineStr">
        <is>
          <t>PASS</t>
        </is>
      </c>
      <c r="L31" s="16" t="inlineStr"/>
      <c r="M31" s="14" t="inlineStr">
        <is>
          <t>Yes</t>
        </is>
      </c>
    </row>
    <row r="32" ht="30" customHeight="1">
      <c r="A32" s="8" t="n">
        <v>28</v>
      </c>
      <c r="B32" s="11" t="inlineStr">
        <is>
          <t>Bank of India Flexi Cap Fund-Reg(G)</t>
        </is>
      </c>
      <c r="C32" s="11" t="inlineStr">
        <is>
          <t>Bank of India Investment Managers Private Limited</t>
        </is>
      </c>
      <c r="D32" s="8" t="inlineStr">
        <is>
          <t>Flexi Cap</t>
        </is>
      </c>
      <c r="E32" s="11" t="inlineStr">
        <is>
          <t>BSE 500 - TRI</t>
        </is>
      </c>
      <c r="F32" s="8" t="n">
        <v>2186</v>
      </c>
      <c r="G32" s="8" t="n">
        <v>5.8</v>
      </c>
      <c r="H32" s="8" t="n">
        <v>21.02</v>
      </c>
      <c r="I32" s="8" t="n">
        <v>17.46</v>
      </c>
      <c r="J32" s="8" t="n">
        <v>1.92</v>
      </c>
      <c r="K32" s="23" t="inlineStr">
        <is>
          <t>PASS</t>
        </is>
      </c>
      <c r="L32" s="11" t="inlineStr"/>
      <c r="M32" s="8" t="inlineStr">
        <is>
          <t>Yes</t>
        </is>
      </c>
    </row>
    <row r="33" ht="30" customHeight="1">
      <c r="A33" s="14" t="n">
        <v>29</v>
      </c>
      <c r="B33" s="16" t="inlineStr">
        <is>
          <t>Sundaram Flexi Cap Fund-Reg(G)</t>
        </is>
      </c>
      <c r="C33" s="16" t="inlineStr">
        <is>
          <t>Sundaram Asset Management Company Limited</t>
        </is>
      </c>
      <c r="D33" s="14" t="inlineStr">
        <is>
          <t>Flexi Cap</t>
        </is>
      </c>
      <c r="E33" s="16" t="inlineStr">
        <is>
          <t>NIFTY 500 - TRI</t>
        </is>
      </c>
      <c r="F33" s="14" t="n">
        <v>2059</v>
      </c>
      <c r="G33" s="14" t="n">
        <v>3.6</v>
      </c>
      <c r="H33" s="14" t="n">
        <v>12.65</v>
      </c>
      <c r="I33" s="14" t="inlineStr"/>
      <c r="J33" s="14" t="n">
        <v>2.04</v>
      </c>
      <c r="K33" s="23" t="inlineStr">
        <is>
          <t>PASS</t>
        </is>
      </c>
      <c r="L33" s="16" t="inlineStr"/>
      <c r="M33" s="14" t="inlineStr">
        <is>
          <t>Yes</t>
        </is>
      </c>
    </row>
    <row r="34" ht="30" customHeight="1">
      <c r="A34" s="8" t="n">
        <v>30</v>
      </c>
      <c r="B34" s="11" t="inlineStr">
        <is>
          <t>360 ONE Flexicap Fund-Reg(G)</t>
        </is>
      </c>
      <c r="C34" s="11" t="inlineStr">
        <is>
          <t>360 ONE Asset Management Limited</t>
        </is>
      </c>
      <c r="D34" s="8" t="inlineStr">
        <is>
          <t>Flexi Cap</t>
        </is>
      </c>
      <c r="E34" s="11" t="inlineStr">
        <is>
          <t>BSE 500 - TRI</t>
        </is>
      </c>
      <c r="F34" s="8" t="n">
        <v>2011</v>
      </c>
      <c r="G34" s="8" t="n">
        <v>2.8</v>
      </c>
      <c r="H34" s="8" t="inlineStr"/>
      <c r="I34" s="8" t="inlineStr"/>
      <c r="J34" s="8" t="n">
        <v>1.99</v>
      </c>
      <c r="K34" s="23" t="inlineStr">
        <is>
          <t>Track record &lt; 3.0Y; No 3Y return data</t>
        </is>
      </c>
      <c r="L34" s="11" t="inlineStr"/>
      <c r="M34" s="8" t="inlineStr">
        <is>
          <t>No</t>
        </is>
      </c>
    </row>
    <row r="35" ht="30" customHeight="1">
      <c r="A35" s="14" t="n">
        <v>31</v>
      </c>
      <c r="B35" s="16" t="inlineStr">
        <is>
          <t>Mahindra Manulife Flexi Cap Fund-Reg(G)</t>
        </is>
      </c>
      <c r="C35" s="16" t="inlineStr">
        <is>
          <t>Mahindra Manulife Investment Management Private Limited</t>
        </is>
      </c>
      <c r="D35" s="14" t="inlineStr">
        <is>
          <t>Flexi Cap</t>
        </is>
      </c>
      <c r="E35" s="16" t="inlineStr">
        <is>
          <t>NIFTY 500 - TRI</t>
        </is>
      </c>
      <c r="F35" s="14" t="n">
        <v>1556</v>
      </c>
      <c r="G35" s="14" t="n">
        <v>4.6</v>
      </c>
      <c r="H35" s="14" t="n">
        <v>13.64</v>
      </c>
      <c r="I35" s="14" t="inlineStr"/>
      <c r="J35" s="14" t="n">
        <v>2.07</v>
      </c>
      <c r="K35" s="23" t="inlineStr">
        <is>
          <t>PASS</t>
        </is>
      </c>
      <c r="L35" s="16" t="inlineStr"/>
      <c r="M35" s="14" t="inlineStr">
        <is>
          <t>Yes</t>
        </is>
      </c>
    </row>
    <row r="36" ht="30" customHeight="1">
      <c r="A36" s="8" t="n">
        <v>32</v>
      </c>
      <c r="B36" s="11" t="inlineStr">
        <is>
          <t>ITI Flexi Cap Fund-Reg(G)</t>
        </is>
      </c>
      <c r="C36" s="11" t="inlineStr">
        <is>
          <t>ITI Asset Management Limited</t>
        </is>
      </c>
      <c r="D36" s="8" t="inlineStr">
        <is>
          <t>Flexi Cap</t>
        </is>
      </c>
      <c r="E36" s="11" t="inlineStr">
        <is>
          <t>NIFTY 500 - TRI</t>
        </is>
      </c>
      <c r="F36" s="8" t="n">
        <v>1267</v>
      </c>
      <c r="G36" s="8" t="n">
        <v>3.1</v>
      </c>
      <c r="H36" s="8" t="n">
        <v>19.18</v>
      </c>
      <c r="I36" s="8" t="inlineStr"/>
      <c r="J36" s="8" t="n">
        <v>1.97</v>
      </c>
      <c r="K36" s="23" t="inlineStr">
        <is>
          <t>PASS</t>
        </is>
      </c>
      <c r="L36" s="11" t="inlineStr"/>
      <c r="M36" s="8" t="inlineStr">
        <is>
          <t>Yes</t>
        </is>
      </c>
    </row>
    <row r="37" ht="30" customHeight="1">
      <c r="A37" s="14" t="n">
        <v>33</v>
      </c>
      <c r="B37" s="16" t="inlineStr">
        <is>
          <t>Baroda BNP Paribas Flexi Cap Fund-Reg(G)</t>
        </is>
      </c>
      <c r="C37" s="16" t="inlineStr">
        <is>
          <t>Baroda BNP Paribas Asset Management India Pvt. Ltd.</t>
        </is>
      </c>
      <c r="D37" s="14" t="inlineStr">
        <is>
          <t>Flexi Cap</t>
        </is>
      </c>
      <c r="E37" s="16" t="inlineStr">
        <is>
          <t>NIFTY 500 - TRI</t>
        </is>
      </c>
      <c r="F37" s="14" t="n">
        <v>1226</v>
      </c>
      <c r="G37" s="14" t="n">
        <v>3.6</v>
      </c>
      <c r="H37" s="14" t="n">
        <v>14.42</v>
      </c>
      <c r="I37" s="14" t="inlineStr"/>
      <c r="J37" s="14" t="n">
        <v>2.18</v>
      </c>
      <c r="K37" s="23" t="inlineStr">
        <is>
          <t>PASS</t>
        </is>
      </c>
      <c r="L37" s="16" t="inlineStr"/>
      <c r="M37" s="14" t="inlineStr">
        <is>
          <t>Yes</t>
        </is>
      </c>
    </row>
    <row r="38" ht="30" customHeight="1">
      <c r="A38" s="8" t="n">
        <v>34</v>
      </c>
      <c r="B38" s="11" t="inlineStr">
        <is>
          <t>TRUSTMF Flexi Cap Fund-Reg(G)</t>
        </is>
      </c>
      <c r="C38" s="11" t="inlineStr">
        <is>
          <t>Trust Asset Management Private Limited</t>
        </is>
      </c>
      <c r="D38" s="8" t="inlineStr">
        <is>
          <t>Flexi Cap</t>
        </is>
      </c>
      <c r="E38" s="11" t="inlineStr">
        <is>
          <t>NIFTY 500 - TRI</t>
        </is>
      </c>
      <c r="F38" s="8" t="n">
        <v>1103</v>
      </c>
      <c r="G38" s="8" t="n">
        <v>1.9</v>
      </c>
      <c r="H38" s="8" t="inlineStr"/>
      <c r="I38" s="8" t="inlineStr"/>
      <c r="J38" s="8" t="n">
        <v>2.12</v>
      </c>
      <c r="K38" s="23" t="inlineStr">
        <is>
          <t>Track record &lt; 3.0Y; No 3Y return data</t>
        </is>
      </c>
      <c r="L38" s="11" t="inlineStr"/>
      <c r="M38" s="8" t="inlineStr">
        <is>
          <t>No</t>
        </is>
      </c>
    </row>
    <row r="39" ht="30" customHeight="1">
      <c r="A39" s="14" t="n">
        <v>35</v>
      </c>
      <c r="B39" s="16" t="inlineStr">
        <is>
          <t>LIC MF Flexi Cap Fund-Reg(G)</t>
        </is>
      </c>
      <c r="C39" s="16" t="inlineStr">
        <is>
          <t>LIC Mutual Fund Asset Management Limited</t>
        </is>
      </c>
      <c r="D39" s="14" t="inlineStr">
        <is>
          <t>Flexi Cap</t>
        </is>
      </c>
      <c r="E39" s="16" t="inlineStr">
        <is>
          <t>NIFTY 500 - TRI</t>
        </is>
      </c>
      <c r="F39" s="14" t="n">
        <v>1000</v>
      </c>
      <c r="G39" s="14" t="n">
        <v>28</v>
      </c>
      <c r="H39" s="14" t="n">
        <v>12.66</v>
      </c>
      <c r="I39" s="14" t="n">
        <v>9.51</v>
      </c>
      <c r="J39" s="14" t="n">
        <v>2.32</v>
      </c>
      <c r="K39" s="23" t="inlineStr">
        <is>
          <t>PASS</t>
        </is>
      </c>
      <c r="L39" s="16" t="inlineStr"/>
      <c r="M39" s="14" t="inlineStr">
        <is>
          <t>Yes</t>
        </is>
      </c>
    </row>
    <row r="40" ht="30" customHeight="1">
      <c r="A40" s="8" t="n">
        <v>36</v>
      </c>
      <c r="B40" s="11" t="inlineStr">
        <is>
          <t>Capitalmind Flexi Cap Fund-Reg(G)</t>
        </is>
      </c>
      <c r="C40" s="11" t="inlineStr">
        <is>
          <t>Capitalmind Asset Management Pvt. Ltd.</t>
        </is>
      </c>
      <c r="D40" s="8" t="inlineStr">
        <is>
          <t>Flexi Cap</t>
        </is>
      </c>
      <c r="E40" s="11" t="inlineStr">
        <is>
          <t>NIFTY 500 - TRI</t>
        </is>
      </c>
      <c r="F40" s="8" t="n">
        <v>371</v>
      </c>
      <c r="G40" s="8" t="n">
        <v>0.7</v>
      </c>
      <c r="H40" s="8" t="inlineStr"/>
      <c r="I40" s="8" t="inlineStr"/>
      <c r="J40" s="8" t="n">
        <v>2.34</v>
      </c>
      <c r="K40" s="23" t="inlineStr">
        <is>
          <t>AUM &lt; 1000 Cr; Track record &lt; 3.0Y; No 3Y return data</t>
        </is>
      </c>
      <c r="L40" s="11" t="inlineStr"/>
      <c r="M40" s="8" t="inlineStr">
        <is>
          <t>No</t>
        </is>
      </c>
    </row>
    <row r="41" ht="30" customHeight="1">
      <c r="A41" s="14" t="n">
        <v>37</v>
      </c>
      <c r="B41" s="16" t="inlineStr">
        <is>
          <t>Taurus Flexi Cap Fund-Reg(G)</t>
        </is>
      </c>
      <c r="C41" s="16" t="inlineStr">
        <is>
          <t>Taurus Asset Management Company Limited</t>
        </is>
      </c>
      <c r="D41" s="14" t="inlineStr">
        <is>
          <t>Flexi Cap</t>
        </is>
      </c>
      <c r="E41" s="16" t="inlineStr">
        <is>
          <t>BSE 500 - TRI</t>
        </is>
      </c>
      <c r="F41" s="14" t="n">
        <v>346</v>
      </c>
      <c r="G41" s="14" t="n">
        <v>32.2</v>
      </c>
      <c r="H41" s="14" t="n">
        <v>13.16</v>
      </c>
      <c r="I41" s="14" t="n">
        <v>10.09</v>
      </c>
      <c r="J41" s="14" t="n">
        <v>2.66</v>
      </c>
      <c r="K41" s="23" t="inlineStr">
        <is>
          <t>AUM &lt; 1000 Cr</t>
        </is>
      </c>
      <c r="L41" s="16" t="inlineStr"/>
      <c r="M41" s="14" t="inlineStr">
        <is>
          <t>No</t>
        </is>
      </c>
    </row>
    <row r="42" ht="30" customHeight="1">
      <c r="A42" s="8" t="n">
        <v>38</v>
      </c>
      <c r="B42" s="11" t="inlineStr">
        <is>
          <t>Samco Flexi Cap Fund-Reg(G)</t>
        </is>
      </c>
      <c r="C42" s="11" t="inlineStr">
        <is>
          <t>Samco Asset Management Pvt. Ltd.</t>
        </is>
      </c>
      <c r="D42" s="8" t="inlineStr">
        <is>
          <t>Flexi Cap</t>
        </is>
      </c>
      <c r="E42" s="11" t="inlineStr">
        <is>
          <t>NIFTY 500 - TRI</t>
        </is>
      </c>
      <c r="F42" s="8" t="n">
        <v>301</v>
      </c>
      <c r="G42" s="8" t="n">
        <v>4.2</v>
      </c>
      <c r="H42" s="8" t="n">
        <v>0.98</v>
      </c>
      <c r="I42" s="8" t="inlineStr"/>
      <c r="J42" s="8" t="n">
        <v>2.41</v>
      </c>
      <c r="K42" s="23" t="inlineStr">
        <is>
          <t>AUM &lt; 1000 Cr</t>
        </is>
      </c>
      <c r="L42" s="11" t="inlineStr"/>
      <c r="M42" s="8" t="inlineStr">
        <is>
          <t>No</t>
        </is>
      </c>
    </row>
    <row r="43" ht="30" customHeight="1">
      <c r="A43" s="14" t="n">
        <v>39</v>
      </c>
      <c r="B43" s="16" t="inlineStr">
        <is>
          <t>Navi Flexi Cap Fund-Reg(G)</t>
        </is>
      </c>
      <c r="C43" s="16" t="inlineStr">
        <is>
          <t>Navi AMC Limited</t>
        </is>
      </c>
      <c r="D43" s="14" t="inlineStr">
        <is>
          <t>Flexi Cap</t>
        </is>
      </c>
      <c r="E43" s="16" t="inlineStr">
        <is>
          <t>NIFTY 500 - TRI</t>
        </is>
      </c>
      <c r="F43" s="14" t="n">
        <v>261</v>
      </c>
      <c r="G43" s="14" t="n">
        <v>7.7</v>
      </c>
      <c r="H43" s="14" t="n">
        <v>11.81</v>
      </c>
      <c r="I43" s="14" t="n">
        <v>10.98</v>
      </c>
      <c r="J43" s="14" t="n">
        <v>2.23</v>
      </c>
      <c r="K43" s="23" t="inlineStr">
        <is>
          <t>AUM &lt; 1000 Cr</t>
        </is>
      </c>
      <c r="L43" s="16" t="inlineStr"/>
      <c r="M43" s="14" t="inlineStr">
        <is>
          <t>No</t>
        </is>
      </c>
    </row>
    <row r="44" ht="30" customHeight="1">
      <c r="A44" s="8" t="n">
        <v>40</v>
      </c>
      <c r="B44" s="11" t="inlineStr">
        <is>
          <t>Shriram Flexi Cap Fund-Reg(G)</t>
        </is>
      </c>
      <c r="C44" s="11" t="inlineStr">
        <is>
          <t>Shriram Asset Management Company Limited</t>
        </is>
      </c>
      <c r="D44" s="8" t="inlineStr">
        <is>
          <t>Flexi Cap</t>
        </is>
      </c>
      <c r="E44" s="11" t="inlineStr">
        <is>
          <t>NIFTY 500 - TRI</t>
        </is>
      </c>
      <c r="F44" s="8" t="n">
        <v>131</v>
      </c>
      <c r="G44" s="8" t="n">
        <v>7.5</v>
      </c>
      <c r="H44" s="8" t="n">
        <v>8.890000000000001</v>
      </c>
      <c r="I44" s="8" t="n">
        <v>7.98</v>
      </c>
      <c r="J44" s="8" t="n">
        <v>2.35</v>
      </c>
      <c r="K44" s="23" t="inlineStr">
        <is>
          <t>AUM &lt; 1000 Cr</t>
        </is>
      </c>
      <c r="L44" s="11" t="inlineStr"/>
      <c r="M44" s="8" t="inlineStr">
        <is>
          <t>No</t>
        </is>
      </c>
    </row>
    <row r="45" ht="30" customHeight="1">
      <c r="A45" s="14" t="n">
        <v>41</v>
      </c>
      <c r="B45" s="16" t="inlineStr">
        <is>
          <t>ICICI Pru Large Cap Fund(G)</t>
        </is>
      </c>
      <c r="C45" s="16" t="inlineStr">
        <is>
          <t>ICICI Prudential Asset Management Company Limited</t>
        </is>
      </c>
      <c r="D45" s="14" t="inlineStr">
        <is>
          <t>Large Cap</t>
        </is>
      </c>
      <c r="E45" s="16" t="inlineStr">
        <is>
          <t>NIFTY 100 - TRI</t>
        </is>
      </c>
      <c r="F45" s="14" t="n">
        <v>77452</v>
      </c>
      <c r="G45" s="14" t="n">
        <v>17.9</v>
      </c>
      <c r="H45" s="14" t="n">
        <v>15.4</v>
      </c>
      <c r="I45" s="14" t="n">
        <v>13.91</v>
      </c>
      <c r="J45" s="14" t="n">
        <v>1.4</v>
      </c>
      <c r="K45" s="23" t="inlineStr">
        <is>
          <t>PASS</t>
        </is>
      </c>
      <c r="L45" s="16" t="inlineStr"/>
      <c r="M45" s="14" t="inlineStr">
        <is>
          <t>Yes</t>
        </is>
      </c>
    </row>
    <row r="46" ht="30" customHeight="1">
      <c r="A46" s="8" t="n">
        <v>42</v>
      </c>
      <c r="B46" s="11" t="inlineStr">
        <is>
          <t>SBI Large Cap Fund-Reg(G)</t>
        </is>
      </c>
      <c r="C46" s="11" t="inlineStr">
        <is>
          <t>SBI Funds Management Limited</t>
        </is>
      </c>
      <c r="D46" s="8" t="inlineStr">
        <is>
          <t>Large Cap</t>
        </is>
      </c>
      <c r="E46" s="11" t="inlineStr">
        <is>
          <t>BSE 100 - TRI</t>
        </is>
      </c>
      <c r="F46" s="8" t="n">
        <v>55246</v>
      </c>
      <c r="G46" s="8" t="n">
        <v>20.1</v>
      </c>
      <c r="H46" s="8" t="n">
        <v>12.23</v>
      </c>
      <c r="I46" s="8" t="n">
        <v>10.89</v>
      </c>
      <c r="J46" s="8" t="n">
        <v>1.47</v>
      </c>
      <c r="K46" s="23" t="inlineStr">
        <is>
          <t>PASS</t>
        </is>
      </c>
      <c r="L46" s="11" t="inlineStr"/>
      <c r="M46" s="8" t="inlineStr">
        <is>
          <t>Yes</t>
        </is>
      </c>
    </row>
    <row r="47" ht="30" customHeight="1">
      <c r="A47" s="14" t="n">
        <v>43</v>
      </c>
      <c r="B47" s="16" t="inlineStr">
        <is>
          <t>Nippon India Large Cap Fund(G)</t>
        </is>
      </c>
      <c r="C47" s="16" t="inlineStr">
        <is>
          <t>Nippon Life India Asset Management Limited</t>
        </is>
      </c>
      <c r="D47" s="14" t="inlineStr">
        <is>
          <t>Large Cap</t>
        </is>
      </c>
      <c r="E47" s="16" t="inlineStr">
        <is>
          <t>BSE 100 - TRI</t>
        </is>
      </c>
      <c r="F47" s="14" t="n">
        <v>51404</v>
      </c>
      <c r="G47" s="14" t="n">
        <v>18.7</v>
      </c>
      <c r="H47" s="14" t="n">
        <v>16.48</v>
      </c>
      <c r="I47" s="14" t="n">
        <v>15.82</v>
      </c>
      <c r="J47" s="14" t="n">
        <v>1.47</v>
      </c>
      <c r="K47" s="23" t="inlineStr">
        <is>
          <t>PASS</t>
        </is>
      </c>
      <c r="L47" s="16" t="inlineStr"/>
      <c r="M47" s="14" t="inlineStr">
        <is>
          <t>Yes</t>
        </is>
      </c>
    </row>
    <row r="48" ht="30" customHeight="1">
      <c r="A48" s="8" t="n">
        <v>44</v>
      </c>
      <c r="B48" s="11" t="inlineStr">
        <is>
          <t>Mirae Asset Large Cap Fund-Reg(G)</t>
        </is>
      </c>
      <c r="C48" s="11" t="inlineStr">
        <is>
          <t>Mirae Asset Investment Managers (India) Private Limited</t>
        </is>
      </c>
      <c r="D48" s="8" t="inlineStr">
        <is>
          <t>Large Cap</t>
        </is>
      </c>
      <c r="E48" s="11" t="inlineStr">
        <is>
          <t>NIFTY 100 - TRI</t>
        </is>
      </c>
      <c r="F48" s="8" t="n">
        <v>40184</v>
      </c>
      <c r="G48" s="8" t="n">
        <v>18</v>
      </c>
      <c r="H48" s="8" t="n">
        <v>10.75</v>
      </c>
      <c r="I48" s="8" t="n">
        <v>9.57</v>
      </c>
      <c r="J48" s="8" t="n">
        <v>1.52</v>
      </c>
      <c r="K48" s="23" t="inlineStr">
        <is>
          <t>PASS</t>
        </is>
      </c>
      <c r="L48" s="11" t="inlineStr"/>
      <c r="M48" s="8" t="inlineStr">
        <is>
          <t>Yes</t>
        </is>
      </c>
    </row>
    <row r="49" ht="30" customHeight="1">
      <c r="A49" s="14" t="n">
        <v>45</v>
      </c>
      <c r="B49" s="16" t="inlineStr">
        <is>
          <t>HDFC Large Cap Fund(G)</t>
        </is>
      </c>
      <c r="C49" s="16" t="inlineStr">
        <is>
          <t>HDFC Asset Management Company Limited</t>
        </is>
      </c>
      <c r="D49" s="14" t="inlineStr">
        <is>
          <t>Large Cap</t>
        </is>
      </c>
      <c r="E49" s="16" t="inlineStr">
        <is>
          <t>NIFTY 100 - TRI</t>
        </is>
      </c>
      <c r="F49" s="14" t="n">
        <v>40085</v>
      </c>
      <c r="G49" s="14" t="n">
        <v>29.5</v>
      </c>
      <c r="H49" s="14" t="n">
        <v>13.08</v>
      </c>
      <c r="I49" s="14" t="n">
        <v>12.95</v>
      </c>
      <c r="J49" s="14" t="n">
        <v>1.59</v>
      </c>
      <c r="K49" s="23" t="inlineStr">
        <is>
          <t>PASS</t>
        </is>
      </c>
      <c r="L49" s="16" t="inlineStr"/>
      <c r="M49" s="14" t="inlineStr">
        <is>
          <t>Yes</t>
        </is>
      </c>
    </row>
    <row r="50" ht="30" customHeight="1">
      <c r="A50" s="8" t="n">
        <v>46</v>
      </c>
      <c r="B50" s="11" t="inlineStr">
        <is>
          <t>Axis Large Cap Fund-Reg(G)</t>
        </is>
      </c>
      <c r="C50" s="11" t="inlineStr">
        <is>
          <t>Axis Asset Management Company Ltd.</t>
        </is>
      </c>
      <c r="D50" s="8" t="inlineStr">
        <is>
          <t>Large Cap</t>
        </is>
      </c>
      <c r="E50" s="11" t="inlineStr">
        <is>
          <t>NIFTY 50 - TRI</t>
        </is>
      </c>
      <c r="F50" s="8" t="n">
        <v>32437</v>
      </c>
      <c r="G50" s="8" t="n">
        <v>16.2</v>
      </c>
      <c r="H50" s="8" t="n">
        <v>10.59</v>
      </c>
      <c r="I50" s="8" t="n">
        <v>7.52</v>
      </c>
      <c r="J50" s="8" t="n">
        <v>1.58</v>
      </c>
      <c r="K50" s="23" t="inlineStr">
        <is>
          <t>PASS</t>
        </is>
      </c>
      <c r="L50" s="11" t="inlineStr"/>
      <c r="M50" s="8" t="inlineStr">
        <is>
          <t>Yes</t>
        </is>
      </c>
    </row>
    <row r="51" ht="30" customHeight="1">
      <c r="A51" s="14" t="n">
        <v>47</v>
      </c>
      <c r="B51" s="16" t="inlineStr">
        <is>
          <t>Aditya Birla SL Large Cap Fund-Reg(G)</t>
        </is>
      </c>
      <c r="C51" s="16" t="inlineStr">
        <is>
          <t>Aditya Birla Sun Life AMC Limited</t>
        </is>
      </c>
      <c r="D51" s="14" t="inlineStr">
        <is>
          <t>Large Cap</t>
        </is>
      </c>
      <c r="E51" s="16" t="inlineStr">
        <is>
          <t>NIFTY 100 - TRI</t>
        </is>
      </c>
      <c r="F51" s="14" t="n">
        <v>30094</v>
      </c>
      <c r="G51" s="14" t="n">
        <v>23.6</v>
      </c>
      <c r="H51" s="14" t="n">
        <v>12.85</v>
      </c>
      <c r="I51" s="14" t="n">
        <v>11.43</v>
      </c>
      <c r="J51" s="14" t="n">
        <v>1.63</v>
      </c>
      <c r="K51" s="23" t="inlineStr">
        <is>
          <t>PASS</t>
        </is>
      </c>
      <c r="L51" s="16" t="inlineStr"/>
      <c r="M51" s="14" t="inlineStr">
        <is>
          <t>Yes</t>
        </is>
      </c>
    </row>
    <row r="52" ht="30" customHeight="1">
      <c r="A52" s="8" t="n">
        <v>48</v>
      </c>
      <c r="B52" s="11" t="inlineStr">
        <is>
          <t>Canara Rob Large Cap Fund-Reg(G)</t>
        </is>
      </c>
      <c r="C52" s="11" t="inlineStr">
        <is>
          <t>Canara Robeco Asset Management Company Limited</t>
        </is>
      </c>
      <c r="D52" s="8" t="inlineStr">
        <is>
          <t>Large Cap</t>
        </is>
      </c>
      <c r="E52" s="11" t="inlineStr">
        <is>
          <t>BSE 100 - TRI</t>
        </is>
      </c>
      <c r="F52" s="8" t="n">
        <v>17104</v>
      </c>
      <c r="G52" s="8" t="n">
        <v>15.6</v>
      </c>
      <c r="H52" s="8" t="n">
        <v>12.66</v>
      </c>
      <c r="I52" s="8" t="n">
        <v>10.42</v>
      </c>
      <c r="J52" s="8" t="n">
        <v>1.65</v>
      </c>
      <c r="K52" s="23" t="inlineStr">
        <is>
          <t>PASS</t>
        </is>
      </c>
      <c r="L52" s="11" t="inlineStr"/>
      <c r="M52" s="8" t="inlineStr">
        <is>
          <t>Yes</t>
        </is>
      </c>
    </row>
    <row r="53" ht="30" customHeight="1">
      <c r="A53" s="14" t="n">
        <v>49</v>
      </c>
      <c r="B53" s="16" t="inlineStr">
        <is>
          <t>UTI Large Cap Fund-Reg(IDCW)</t>
        </is>
      </c>
      <c r="C53" s="16" t="inlineStr">
        <is>
          <t>UTI Asset Management Company Private Limited</t>
        </is>
      </c>
      <c r="D53" s="14" t="inlineStr">
        <is>
          <t>Large Cap</t>
        </is>
      </c>
      <c r="E53" s="16" t="inlineStr">
        <is>
          <t>BSE 100 - TRI</t>
        </is>
      </c>
      <c r="F53" s="14" t="n">
        <v>12658</v>
      </c>
      <c r="G53" s="14" t="n">
        <v>39.5</v>
      </c>
      <c r="H53" s="14" t="n">
        <v>10.56</v>
      </c>
      <c r="I53" s="14" t="n">
        <v>9.07</v>
      </c>
      <c r="J53" s="14" t="n">
        <v>1.75</v>
      </c>
      <c r="K53" s="23" t="inlineStr">
        <is>
          <t>PASS</t>
        </is>
      </c>
      <c r="L53" s="16" t="inlineStr"/>
      <c r="M53" s="14" t="inlineStr">
        <is>
          <t>Yes</t>
        </is>
      </c>
    </row>
    <row r="54" ht="30" customHeight="1">
      <c r="A54" s="8" t="n">
        <v>50</v>
      </c>
      <c r="B54" s="11" t="inlineStr">
        <is>
          <t>Kotak Large Cap Fund(IDCW)</t>
        </is>
      </c>
      <c r="C54" s="11" t="inlineStr">
        <is>
          <t>Kotak Mahindra Asset Management Company Limited</t>
        </is>
      </c>
      <c r="D54" s="8" t="inlineStr">
        <is>
          <t>Large Cap</t>
        </is>
      </c>
      <c r="E54" s="11" t="inlineStr">
        <is>
          <t>NIFTY 100 - TRI</t>
        </is>
      </c>
      <c r="F54" s="8" t="n">
        <v>10925</v>
      </c>
      <c r="G54" s="8" t="n">
        <v>27.3</v>
      </c>
      <c r="H54" s="8" t="n">
        <v>13.1</v>
      </c>
      <c r="I54" s="8" t="n">
        <v>11.19</v>
      </c>
      <c r="J54" s="8" t="n">
        <v>1.73</v>
      </c>
      <c r="K54" s="23" t="inlineStr">
        <is>
          <t>PASS</t>
        </is>
      </c>
      <c r="L54" s="11" t="inlineStr"/>
      <c r="M54" s="8" t="inlineStr">
        <is>
          <t>Yes</t>
        </is>
      </c>
    </row>
    <row r="55" ht="30" customHeight="1">
      <c r="A55" s="14" t="n">
        <v>51</v>
      </c>
      <c r="B55" s="16" t="inlineStr">
        <is>
          <t>Franklin India Large Cap Fund(G)</t>
        </is>
      </c>
      <c r="C55" s="16" t="inlineStr">
        <is>
          <t>Franklin Templeton Asset Management (India) Private Limited</t>
        </is>
      </c>
      <c r="D55" s="14" t="inlineStr">
        <is>
          <t>Large Cap</t>
        </is>
      </c>
      <c r="E55" s="16" t="inlineStr">
        <is>
          <t>NIFTY 100 - TRI</t>
        </is>
      </c>
      <c r="F55" s="14" t="n">
        <v>7580</v>
      </c>
      <c r="G55" s="14" t="n">
        <v>32.3</v>
      </c>
      <c r="H55" s="14" t="n">
        <v>12.76</v>
      </c>
      <c r="I55" s="14" t="n">
        <v>9.890000000000001</v>
      </c>
      <c r="J55" s="14" t="n">
        <v>1.86</v>
      </c>
      <c r="K55" s="23" t="inlineStr">
        <is>
          <t>PASS</t>
        </is>
      </c>
      <c r="L55" s="16" t="inlineStr"/>
      <c r="M55" s="14" t="inlineStr">
        <is>
          <t>Yes</t>
        </is>
      </c>
    </row>
    <row r="56" ht="30" customHeight="1">
      <c r="A56" s="8" t="n">
        <v>52</v>
      </c>
      <c r="B56" s="11" t="inlineStr">
        <is>
          <t>DSP Large Cap Fund-Reg(G)</t>
        </is>
      </c>
      <c r="C56" s="11" t="inlineStr">
        <is>
          <t>DSP Investment Managers Private Limited</t>
        </is>
      </c>
      <c r="D56" s="8" t="inlineStr">
        <is>
          <t>Large Cap</t>
        </is>
      </c>
      <c r="E56" s="11" t="inlineStr">
        <is>
          <t>NIFTY 50 - TRI</t>
        </is>
      </c>
      <c r="F56" s="8" t="n">
        <v>7270</v>
      </c>
      <c r="G56" s="8" t="n">
        <v>23.1</v>
      </c>
      <c r="H56" s="8" t="n">
        <v>15.58</v>
      </c>
      <c r="I56" s="8" t="n">
        <v>11.67</v>
      </c>
      <c r="J56" s="8" t="n">
        <v>1.82</v>
      </c>
      <c r="K56" s="23" t="inlineStr">
        <is>
          <t>PASS</t>
        </is>
      </c>
      <c r="L56" s="11" t="inlineStr"/>
      <c r="M56" s="8" t="inlineStr">
        <is>
          <t>Yes</t>
        </is>
      </c>
    </row>
    <row r="57" ht="30" customHeight="1">
      <c r="A57" s="14" t="n">
        <v>53</v>
      </c>
      <c r="B57" s="16" t="inlineStr">
        <is>
          <t>Sundaram Large Cap Fund-Reg(G)</t>
        </is>
      </c>
      <c r="C57" s="16" t="inlineStr">
        <is>
          <t>Sundaram Asset Management Company Limited</t>
        </is>
      </c>
      <c r="D57" s="14" t="inlineStr">
        <is>
          <t>Large Cap</t>
        </is>
      </c>
      <c r="E57" s="16" t="inlineStr">
        <is>
          <t>NIFTY 100 - TRI</t>
        </is>
      </c>
      <c r="F57" s="14" t="n">
        <v>3245</v>
      </c>
      <c r="G57" s="14" t="n">
        <v>5.5</v>
      </c>
      <c r="H57" s="14" t="n">
        <v>10.66</v>
      </c>
      <c r="I57" s="14" t="n">
        <v>9.869999999999999</v>
      </c>
      <c r="J57" s="14" t="n">
        <v>1.92</v>
      </c>
      <c r="K57" s="23" t="inlineStr">
        <is>
          <t>PASS</t>
        </is>
      </c>
      <c r="L57" s="16" t="inlineStr"/>
      <c r="M57" s="14" t="inlineStr">
        <is>
          <t>Yes</t>
        </is>
      </c>
    </row>
    <row r="58" ht="30" customHeight="1">
      <c r="A58" s="8" t="n">
        <v>54</v>
      </c>
      <c r="B58" s="11" t="inlineStr">
        <is>
          <t>Motilal Oswal Large Cap Fund-Reg(G)</t>
        </is>
      </c>
      <c r="C58" s="11" t="inlineStr">
        <is>
          <t>Motilal Oswal Asset Management Company Limited</t>
        </is>
      </c>
      <c r="D58" s="8" t="inlineStr">
        <is>
          <t>Large Cap</t>
        </is>
      </c>
      <c r="E58" s="11" t="inlineStr">
        <is>
          <t>NIFTY 100 - TRI</t>
        </is>
      </c>
      <c r="F58" s="8" t="n">
        <v>3242</v>
      </c>
      <c r="G58" s="8" t="n">
        <v>2.1</v>
      </c>
      <c r="H58" s="8" t="inlineStr"/>
      <c r="I58" s="8" t="inlineStr"/>
      <c r="J58" s="8" t="n">
        <v>1.93</v>
      </c>
      <c r="K58" s="23" t="inlineStr">
        <is>
          <t>Track record &lt; 5.0Y; No 3Y return data</t>
        </is>
      </c>
      <c r="L58" s="11" t="inlineStr"/>
      <c r="M58" s="8" t="inlineStr">
        <is>
          <t>No</t>
        </is>
      </c>
    </row>
    <row r="59" ht="30" customHeight="1">
      <c r="A59" s="14" t="n">
        <v>55</v>
      </c>
      <c r="B59" s="16" t="inlineStr">
        <is>
          <t>Quant Large Cap Fund-Reg(G)</t>
        </is>
      </c>
      <c r="C59" s="16" t="inlineStr">
        <is>
          <t>Quant Money Managers Limited</t>
        </is>
      </c>
      <c r="D59" s="14" t="inlineStr">
        <is>
          <t>Large Cap</t>
        </is>
      </c>
      <c r="E59" s="16" t="inlineStr">
        <is>
          <t>NIFTY 100 - TRI</t>
        </is>
      </c>
      <c r="F59" s="14" t="n">
        <v>3023</v>
      </c>
      <c r="G59" s="14" t="n">
        <v>3.6</v>
      </c>
      <c r="H59" s="14" t="n">
        <v>13.82</v>
      </c>
      <c r="I59" s="14" t="inlineStr"/>
      <c r="J59" s="14" t="n">
        <v>1.92</v>
      </c>
      <c r="K59" s="23" t="inlineStr">
        <is>
          <t>Track record &lt; 5.0Y</t>
        </is>
      </c>
      <c r="L59" s="16" t="inlineStr"/>
      <c r="M59" s="14" t="inlineStr">
        <is>
          <t>No</t>
        </is>
      </c>
    </row>
    <row r="60" ht="30" customHeight="1">
      <c r="A60" s="8" t="n">
        <v>56</v>
      </c>
      <c r="B60" s="11" t="inlineStr">
        <is>
          <t>Tata Large Cap Fund-Reg(G)</t>
        </is>
      </c>
      <c r="C60" s="11" t="inlineStr">
        <is>
          <t>Tata Asset Management Private Limited</t>
        </is>
      </c>
      <c r="D60" s="8" t="inlineStr">
        <is>
          <t>Large Cap</t>
        </is>
      </c>
      <c r="E60" s="11" t="inlineStr">
        <is>
          <t>NIFTY 100 - TRI</t>
        </is>
      </c>
      <c r="F60" s="8" t="n">
        <v>2784</v>
      </c>
      <c r="G60" s="8" t="n">
        <v>27.9</v>
      </c>
      <c r="H60" s="8" t="n">
        <v>12.79</v>
      </c>
      <c r="I60" s="8" t="n">
        <v>11.33</v>
      </c>
      <c r="J60" s="8" t="n">
        <v>1.99</v>
      </c>
      <c r="K60" s="23" t="inlineStr">
        <is>
          <t>PASS</t>
        </is>
      </c>
      <c r="L60" s="11" t="inlineStr"/>
      <c r="M60" s="8" t="inlineStr">
        <is>
          <t>Yes</t>
        </is>
      </c>
    </row>
    <row r="61" ht="30" customHeight="1">
      <c r="A61" s="14" t="n">
        <v>57</v>
      </c>
      <c r="B61" s="16" t="inlineStr">
        <is>
          <t>Baroda BNP Paribas Large Cap Fund-Reg(G)</t>
        </is>
      </c>
      <c r="C61" s="16" t="inlineStr">
        <is>
          <t>Baroda BNP Paribas Asset Management India Pvt. Ltd.</t>
        </is>
      </c>
      <c r="D61" s="14" t="inlineStr">
        <is>
          <t>Large Cap</t>
        </is>
      </c>
      <c r="E61" s="16" t="inlineStr">
        <is>
          <t>NIFTY 100 - TRI</t>
        </is>
      </c>
      <c r="F61" s="14" t="n">
        <v>2639</v>
      </c>
      <c r="G61" s="14" t="n">
        <v>21.5</v>
      </c>
      <c r="H61" s="14" t="n">
        <v>13.82</v>
      </c>
      <c r="I61" s="14" t="n">
        <v>11.74</v>
      </c>
      <c r="J61" s="14" t="n">
        <v>1.98</v>
      </c>
      <c r="K61" s="23" t="inlineStr">
        <is>
          <t>PASS</t>
        </is>
      </c>
      <c r="L61" s="16" t="inlineStr"/>
      <c r="M61" s="14" t="inlineStr">
        <is>
          <t>Yes</t>
        </is>
      </c>
    </row>
    <row r="62" ht="30" customHeight="1">
      <c r="A62" s="8" t="n">
        <v>58</v>
      </c>
      <c r="B62" s="11" t="inlineStr">
        <is>
          <t>Bandhan Large Cap Fund-Reg(G)</t>
        </is>
      </c>
      <c r="C62" s="11" t="inlineStr">
        <is>
          <t>Bandhan AMC Limited</t>
        </is>
      </c>
      <c r="D62" s="8" t="inlineStr">
        <is>
          <t>Large Cap</t>
        </is>
      </c>
      <c r="E62" s="11" t="inlineStr">
        <is>
          <t>NIFTY 50 - TRI</t>
        </is>
      </c>
      <c r="F62" s="8" t="n">
        <v>2024</v>
      </c>
      <c r="G62" s="8" t="n">
        <v>19.8</v>
      </c>
      <c r="H62" s="8" t="n">
        <v>15.03</v>
      </c>
      <c r="I62" s="8" t="n">
        <v>11.58</v>
      </c>
      <c r="J62" s="8" t="n">
        <v>2.02</v>
      </c>
      <c r="K62" s="23" t="inlineStr">
        <is>
          <t>PASS</t>
        </is>
      </c>
      <c r="L62" s="11" t="inlineStr"/>
      <c r="M62" s="8" t="inlineStr">
        <is>
          <t>Yes</t>
        </is>
      </c>
    </row>
    <row r="63" ht="30" customHeight="1">
      <c r="A63" s="14" t="n">
        <v>59</v>
      </c>
      <c r="B63" s="16" t="inlineStr">
        <is>
          <t>HSBC Large Cap Fund(G)</t>
        </is>
      </c>
      <c r="C63" s="16" t="inlineStr">
        <is>
          <t>HSBC Global Asset Management (India) Private Limited</t>
        </is>
      </c>
      <c r="D63" s="14" t="inlineStr">
        <is>
          <t>Large Cap</t>
        </is>
      </c>
      <c r="E63" s="16" t="inlineStr">
        <is>
          <t>NIFTY 100 - TRI</t>
        </is>
      </c>
      <c r="F63" s="14" t="n">
        <v>1894</v>
      </c>
      <c r="G63" s="14" t="n">
        <v>23.3</v>
      </c>
      <c r="H63" s="14" t="n">
        <v>13.33</v>
      </c>
      <c r="I63" s="14" t="n">
        <v>10.46</v>
      </c>
      <c r="J63" s="14" t="n">
        <v>2.13</v>
      </c>
      <c r="K63" s="23" t="inlineStr">
        <is>
          <t>AUM &lt; 2000 Cr</t>
        </is>
      </c>
      <c r="L63" s="16" t="inlineStr"/>
      <c r="M63" s="14" t="inlineStr">
        <is>
          <t>No</t>
        </is>
      </c>
    </row>
    <row r="64" ht="30" customHeight="1">
      <c r="A64" s="8" t="n">
        <v>60</v>
      </c>
      <c r="B64" s="11" t="inlineStr">
        <is>
          <t>Invesco India Largecap Fund-Reg(G)</t>
        </is>
      </c>
      <c r="C64" s="11" t="inlineStr">
        <is>
          <t>Invesco Asset Management Company Pvt Ltd.</t>
        </is>
      </c>
      <c r="D64" s="8" t="inlineStr">
        <is>
          <t>Large Cap</t>
        </is>
      </c>
      <c r="E64" s="11" t="inlineStr">
        <is>
          <t>NIFTY 100 - TRI</t>
        </is>
      </c>
      <c r="F64" s="8" t="n">
        <v>1702</v>
      </c>
      <c r="G64" s="8" t="n">
        <v>16.6</v>
      </c>
      <c r="H64" s="8" t="n">
        <v>15.14</v>
      </c>
      <c r="I64" s="8" t="n">
        <v>12.41</v>
      </c>
      <c r="J64" s="8" t="n">
        <v>2.02</v>
      </c>
      <c r="K64" s="23" t="inlineStr">
        <is>
          <t>AUM &lt; 2000 Cr</t>
        </is>
      </c>
      <c r="L64" s="11" t="inlineStr"/>
      <c r="M64" s="8" t="inlineStr">
        <is>
          <t>No</t>
        </is>
      </c>
    </row>
    <row r="65" ht="30" customHeight="1">
      <c r="A65" s="14" t="n">
        <v>61</v>
      </c>
      <c r="B65" s="16" t="inlineStr">
        <is>
          <t>Bajaj Finserv Large Cap Fund-Reg(G)</t>
        </is>
      </c>
      <c r="C65" s="16" t="inlineStr">
        <is>
          <t>Bajaj Finserv Asset Management Limited</t>
        </is>
      </c>
      <c r="D65" s="14" t="inlineStr">
        <is>
          <t>Large Cap</t>
        </is>
      </c>
      <c r="E65" s="16" t="inlineStr">
        <is>
          <t>NIFTY 100 - TRI</t>
        </is>
      </c>
      <c r="F65" s="14" t="n">
        <v>1540</v>
      </c>
      <c r="G65" s="14" t="n">
        <v>1.6</v>
      </c>
      <c r="H65" s="14" t="inlineStr"/>
      <c r="I65" s="14" t="inlineStr"/>
      <c r="J65" s="14" t="n">
        <v>2.08</v>
      </c>
      <c r="K65" s="23" t="inlineStr">
        <is>
          <t>AUM &lt; 2000 Cr; Track record &lt; 5.0Y; No 3Y return data</t>
        </is>
      </c>
      <c r="L65" s="16" t="inlineStr"/>
      <c r="M65" s="14" t="inlineStr">
        <is>
          <t>No</t>
        </is>
      </c>
    </row>
    <row r="66" ht="30" customHeight="1">
      <c r="A66" s="8" t="n">
        <v>62</v>
      </c>
      <c r="B66" s="11" t="inlineStr">
        <is>
          <t>Edelweiss Large Cap Fund-Reg(G)</t>
        </is>
      </c>
      <c r="C66" s="11" t="inlineStr">
        <is>
          <t>Edelweiss Asset Management Limited</t>
        </is>
      </c>
      <c r="D66" s="8" t="inlineStr">
        <is>
          <t>Large Cap</t>
        </is>
      </c>
      <c r="E66" s="11" t="inlineStr">
        <is>
          <t>NIFTY 100 - TRI</t>
        </is>
      </c>
      <c r="F66" s="8" t="n">
        <v>1477</v>
      </c>
      <c r="G66" s="8" t="n">
        <v>16.9</v>
      </c>
      <c r="H66" s="8" t="n">
        <v>12.7</v>
      </c>
      <c r="I66" s="8" t="n">
        <v>11.27</v>
      </c>
      <c r="J66" s="8" t="n">
        <v>2.08</v>
      </c>
      <c r="K66" s="23" t="inlineStr">
        <is>
          <t>AUM &lt; 2000 Cr</t>
        </is>
      </c>
      <c r="L66" s="11" t="inlineStr"/>
      <c r="M66" s="8" t="inlineStr">
        <is>
          <t>No</t>
        </is>
      </c>
    </row>
    <row r="67" ht="30" customHeight="1">
      <c r="A67" s="14" t="n">
        <v>63</v>
      </c>
      <c r="B67" s="16" t="inlineStr">
        <is>
          <t>LIC MF Large Cap Fund-Reg(G)</t>
        </is>
      </c>
      <c r="C67" s="16" t="inlineStr">
        <is>
          <t>LIC Mutual Fund Asset Management Limited</t>
        </is>
      </c>
      <c r="D67" s="14" t="inlineStr">
        <is>
          <t>Large Cap</t>
        </is>
      </c>
      <c r="E67" s="16" t="inlineStr">
        <is>
          <t>NIFTY 100 - TRI</t>
        </is>
      </c>
      <c r="F67" s="14" t="n">
        <v>1422</v>
      </c>
      <c r="G67" s="14" t="n">
        <v>28</v>
      </c>
      <c r="H67" s="14" t="n">
        <v>9.380000000000001</v>
      </c>
      <c r="I67" s="14" t="n">
        <v>8.17</v>
      </c>
      <c r="J67" s="14" t="n">
        <v>2.16</v>
      </c>
      <c r="K67" s="23" t="inlineStr">
        <is>
          <t>AUM &lt; 2000 Cr</t>
        </is>
      </c>
      <c r="L67" s="16" t="inlineStr"/>
      <c r="M67" s="14" t="inlineStr">
        <is>
          <t>No</t>
        </is>
      </c>
    </row>
    <row r="68" ht="30" customHeight="1">
      <c r="A68" s="8" t="n">
        <v>64</v>
      </c>
      <c r="B68" s="11" t="inlineStr">
        <is>
          <t>WOC Large Cap Fund-Reg(G)</t>
        </is>
      </c>
      <c r="C68" s="11" t="inlineStr">
        <is>
          <t>WhiteOak Capital Asset Management Limited</t>
        </is>
      </c>
      <c r="D68" s="8" t="inlineStr">
        <is>
          <t>Large Cap</t>
        </is>
      </c>
      <c r="E68" s="11" t="inlineStr">
        <is>
          <t>NIFTY 50 - TRI</t>
        </is>
      </c>
      <c r="F68" s="8" t="n">
        <v>1149</v>
      </c>
      <c r="G68" s="8" t="n">
        <v>3.3</v>
      </c>
      <c r="H68" s="8" t="n">
        <v>15.43</v>
      </c>
      <c r="I68" s="8" t="inlineStr"/>
      <c r="J68" s="8" t="n">
        <v>2.16</v>
      </c>
      <c r="K68" s="23" t="inlineStr">
        <is>
          <t>AUM &lt; 2000 Cr; Track record &lt; 5.0Y</t>
        </is>
      </c>
      <c r="L68" s="11" t="inlineStr"/>
      <c r="M68" s="8" t="inlineStr">
        <is>
          <t>No</t>
        </is>
      </c>
    </row>
    <row r="69" ht="30" customHeight="1">
      <c r="A69" s="14" t="n">
        <v>65</v>
      </c>
      <c r="B69" s="16" t="inlineStr">
        <is>
          <t>Mahindra Manulife Large Cap Fund-Reg(G)</t>
        </is>
      </c>
      <c r="C69" s="16" t="inlineStr">
        <is>
          <t>Mahindra Manulife Investment Management Private Limited</t>
        </is>
      </c>
      <c r="D69" s="14" t="inlineStr">
        <is>
          <t>Large Cap</t>
        </is>
      </c>
      <c r="E69" s="16" t="inlineStr">
        <is>
          <t>NIFTY 100 - TRI</t>
        </is>
      </c>
      <c r="F69" s="14" t="n">
        <v>737</v>
      </c>
      <c r="G69" s="14" t="n">
        <v>7</v>
      </c>
      <c r="H69" s="14" t="n">
        <v>12.31</v>
      </c>
      <c r="I69" s="14" t="n">
        <v>10.33</v>
      </c>
      <c r="J69" s="14" t="n">
        <v>2.32</v>
      </c>
      <c r="K69" s="23" t="inlineStr">
        <is>
          <t>AUM &lt; 2000 Cr</t>
        </is>
      </c>
      <c r="L69" s="16" t="inlineStr"/>
      <c r="M69" s="14" t="inlineStr">
        <is>
          <t>No</t>
        </is>
      </c>
    </row>
    <row r="70" ht="30" customHeight="1">
      <c r="A70" s="8" t="n">
        <v>66</v>
      </c>
      <c r="B70" s="11" t="inlineStr">
        <is>
          <t>PGIM India Large Cap Fund(G)</t>
        </is>
      </c>
      <c r="C70" s="11" t="inlineStr">
        <is>
          <t>PGIM India Asset Management Private Limited</t>
        </is>
      </c>
      <c r="D70" s="8" t="inlineStr">
        <is>
          <t>Large Cap</t>
        </is>
      </c>
      <c r="E70" s="11" t="inlineStr">
        <is>
          <t>NIFTY 100 - TRI</t>
        </is>
      </c>
      <c r="F70" s="8" t="n">
        <v>568</v>
      </c>
      <c r="G70" s="8" t="n">
        <v>23.2</v>
      </c>
      <c r="H70" s="8" t="n">
        <v>8.82</v>
      </c>
      <c r="I70" s="8" t="n">
        <v>7.9</v>
      </c>
      <c r="J70" s="8" t="n">
        <v>2.38</v>
      </c>
      <c r="K70" s="23" t="inlineStr">
        <is>
          <t>AUM &lt; 2000 Cr</t>
        </is>
      </c>
      <c r="L70" s="11" t="inlineStr"/>
      <c r="M70" s="8" t="inlineStr">
        <is>
          <t>No</t>
        </is>
      </c>
    </row>
    <row r="71" ht="30" customHeight="1">
      <c r="A71" s="14" t="n">
        <v>67</v>
      </c>
      <c r="B71" s="16" t="inlineStr">
        <is>
          <t>ITI Large Cap Fund-Reg(G)</t>
        </is>
      </c>
      <c r="C71" s="16" t="inlineStr">
        <is>
          <t>ITI Asset Management Limited</t>
        </is>
      </c>
      <c r="D71" s="14" t="inlineStr">
        <is>
          <t>Large Cap</t>
        </is>
      </c>
      <c r="E71" s="16" t="inlineStr">
        <is>
          <t>NIFTY 100 - TRI</t>
        </is>
      </c>
      <c r="F71" s="14" t="n">
        <v>507</v>
      </c>
      <c r="G71" s="14" t="n">
        <v>5.3</v>
      </c>
      <c r="H71" s="14" t="n">
        <v>11.1</v>
      </c>
      <c r="I71" s="14" t="n">
        <v>8.09</v>
      </c>
      <c r="J71" s="14" t="n">
        <v>2.35</v>
      </c>
      <c r="K71" s="23" t="inlineStr">
        <is>
          <t>AUM &lt; 2000 Cr</t>
        </is>
      </c>
      <c r="L71" s="16" t="inlineStr"/>
      <c r="M71" s="14" t="inlineStr">
        <is>
          <t>No</t>
        </is>
      </c>
    </row>
    <row r="72" ht="30" customHeight="1">
      <c r="A72" s="8" t="n">
        <v>68</v>
      </c>
      <c r="B72" s="11" t="inlineStr">
        <is>
          <t>Union Largecap Fund-Reg(G)</t>
        </is>
      </c>
      <c r="C72" s="11" t="inlineStr">
        <is>
          <t>Union Asset Management Company Pvt. Ltd.</t>
        </is>
      </c>
      <c r="D72" s="8" t="inlineStr">
        <is>
          <t>Large Cap</t>
        </is>
      </c>
      <c r="E72" s="11" t="inlineStr">
        <is>
          <t>BSE 100 - TRI</t>
        </is>
      </c>
      <c r="F72" s="8" t="n">
        <v>453</v>
      </c>
      <c r="G72" s="8" t="n">
        <v>8.9</v>
      </c>
      <c r="H72" s="8" t="n">
        <v>10.95</v>
      </c>
      <c r="I72" s="8" t="n">
        <v>9.619999999999999</v>
      </c>
      <c r="J72" s="8" t="n">
        <v>2.54</v>
      </c>
      <c r="K72" s="23" t="inlineStr">
        <is>
          <t>AUM &lt; 2000 Cr</t>
        </is>
      </c>
      <c r="L72" s="11" t="inlineStr"/>
      <c r="M72" s="8" t="inlineStr">
        <is>
          <t>No</t>
        </is>
      </c>
    </row>
    <row r="73" ht="30" customHeight="1">
      <c r="A73" s="14" t="n">
        <v>69</v>
      </c>
      <c r="B73" s="16" t="inlineStr">
        <is>
          <t>JM Large Cap Fund-Reg(G)</t>
        </is>
      </c>
      <c r="C73" s="16" t="inlineStr">
        <is>
          <t>JM Financial Asset Management Private Limited</t>
        </is>
      </c>
      <c r="D73" s="14" t="inlineStr">
        <is>
          <t>Large Cap</t>
        </is>
      </c>
      <c r="E73" s="16" t="inlineStr">
        <is>
          <t>NIFTY 50 - TRI</t>
        </is>
      </c>
      <c r="F73" s="14" t="n">
        <v>443</v>
      </c>
      <c r="G73" s="14" t="n">
        <v>31</v>
      </c>
      <c r="H73" s="14" t="n">
        <v>13.18</v>
      </c>
      <c r="I73" s="14" t="n">
        <v>11.25</v>
      </c>
      <c r="J73" s="14" t="n">
        <v>2.42</v>
      </c>
      <c r="K73" s="23" t="inlineStr">
        <is>
          <t>AUM &lt; 2000 Cr</t>
        </is>
      </c>
      <c r="L73" s="16" t="inlineStr"/>
      <c r="M73" s="14" t="inlineStr">
        <is>
          <t>No</t>
        </is>
      </c>
    </row>
    <row r="74" ht="30" customHeight="1">
      <c r="A74" s="8" t="n">
        <v>70</v>
      </c>
      <c r="B74" s="11" t="inlineStr">
        <is>
          <t>Bank of India Large Cap Fund-Reg(G)</t>
        </is>
      </c>
      <c r="C74" s="11" t="inlineStr">
        <is>
          <t>Bank of India Investment Managers Private Limited</t>
        </is>
      </c>
      <c r="D74" s="8" t="inlineStr">
        <is>
          <t>Large Cap</t>
        </is>
      </c>
      <c r="E74" s="11" t="inlineStr">
        <is>
          <t>NIFTY 100 - TRI</t>
        </is>
      </c>
      <c r="F74" s="8" t="n">
        <v>212</v>
      </c>
      <c r="G74" s="8" t="n">
        <v>4.8</v>
      </c>
      <c r="H74" s="8" t="n">
        <v>14.88</v>
      </c>
      <c r="I74" s="8" t="inlineStr"/>
      <c r="J74" s="8" t="n">
        <v>2.3</v>
      </c>
      <c r="K74" s="23" t="inlineStr">
        <is>
          <t>AUM &lt; 2000 Cr; Track record &lt; 5.0Y</t>
        </is>
      </c>
      <c r="L74" s="11" t="inlineStr"/>
      <c r="M74" s="8" t="inlineStr">
        <is>
          <t>No</t>
        </is>
      </c>
    </row>
    <row r="75" ht="30" customHeight="1">
      <c r="A75" s="14" t="n">
        <v>71</v>
      </c>
      <c r="B75" s="16" t="inlineStr">
        <is>
          <t>Groww Largecap Fund-Reg(G)</t>
        </is>
      </c>
      <c r="C75" s="16" t="inlineStr">
        <is>
          <t>Groww Asset Management Limited</t>
        </is>
      </c>
      <c r="D75" s="14" t="inlineStr">
        <is>
          <t>Large Cap</t>
        </is>
      </c>
      <c r="E75" s="16" t="inlineStr">
        <is>
          <t>NIFTY 100 - TRI</t>
        </is>
      </c>
      <c r="F75" s="14" t="n">
        <v>132</v>
      </c>
      <c r="G75" s="14" t="n">
        <v>14.1</v>
      </c>
      <c r="H75" s="14" t="n">
        <v>12.18</v>
      </c>
      <c r="I75" s="14" t="n">
        <v>10.08</v>
      </c>
      <c r="J75" s="14" t="n">
        <v>2.46</v>
      </c>
      <c r="K75" s="23" t="inlineStr">
        <is>
          <t>AUM &lt; 2000 Cr</t>
        </is>
      </c>
      <c r="L75" s="16" t="inlineStr"/>
      <c r="M75" s="14" t="inlineStr">
        <is>
          <t>No</t>
        </is>
      </c>
    </row>
    <row r="76" ht="30" customHeight="1">
      <c r="A76" s="8" t="n">
        <v>72</v>
      </c>
      <c r="B76" s="11" t="inlineStr">
        <is>
          <t>Taurus Large Cap Fund-Reg(G)</t>
        </is>
      </c>
      <c r="C76" s="11" t="inlineStr">
        <is>
          <t>Taurus Asset Management Company Limited</t>
        </is>
      </c>
      <c r="D76" s="8" t="inlineStr">
        <is>
          <t>Large Cap</t>
        </is>
      </c>
      <c r="E76" s="11" t="inlineStr">
        <is>
          <t>NIFTY 50 - TRI</t>
        </is>
      </c>
      <c r="F76" s="8" t="n">
        <v>51</v>
      </c>
      <c r="G76" s="8" t="n">
        <v>31.1</v>
      </c>
      <c r="H76" s="8" t="n">
        <v>15.18</v>
      </c>
      <c r="I76" s="8" t="n">
        <v>11.18</v>
      </c>
      <c r="J76" s="8" t="n">
        <v>2.59</v>
      </c>
      <c r="K76" s="23" t="inlineStr">
        <is>
          <t>AUM &lt; 2000 Cr</t>
        </is>
      </c>
      <c r="L76" s="11" t="inlineStr"/>
      <c r="M76" s="8" t="inlineStr">
        <is>
          <t>No</t>
        </is>
      </c>
    </row>
    <row r="77" ht="30" customHeight="1">
      <c r="A77" s="14" t="n">
        <v>73</v>
      </c>
      <c r="B77" s="16" t="inlineStr">
        <is>
          <t>HDFC Mid Cap Fund-Reg(G)</t>
        </is>
      </c>
      <c r="C77" s="16" t="inlineStr">
        <is>
          <t>HDFC Asset Management Company Limited</t>
        </is>
      </c>
      <c r="D77" s="14" t="inlineStr">
        <is>
          <t>Mid Cap</t>
        </is>
      </c>
      <c r="E77" s="16" t="inlineStr">
        <is>
          <t>Nifty Midcap 150 - TRI</t>
        </is>
      </c>
      <c r="F77" s="14" t="n">
        <v>94257</v>
      </c>
      <c r="G77" s="14" t="n">
        <v>18.8</v>
      </c>
      <c r="H77" s="14" t="n">
        <v>23.75</v>
      </c>
      <c r="I77" s="14" t="n">
        <v>20.68</v>
      </c>
      <c r="J77" s="14" t="n">
        <v>1.36</v>
      </c>
      <c r="K77" s="23" t="inlineStr">
        <is>
          <t>AUM &gt; 30000 Cr</t>
        </is>
      </c>
      <c r="L77" s="16" t="inlineStr"/>
      <c r="M77" s="14" t="inlineStr">
        <is>
          <t>No</t>
        </is>
      </c>
    </row>
    <row r="78" ht="30" customHeight="1">
      <c r="A78" s="8" t="n">
        <v>74</v>
      </c>
      <c r="B78" s="11" t="inlineStr">
        <is>
          <t>Kotak Midcap Fund-Reg(G)</t>
        </is>
      </c>
      <c r="C78" s="11" t="inlineStr">
        <is>
          <t>Kotak Mahindra Asset Management Company Limited</t>
        </is>
      </c>
      <c r="D78" s="8" t="inlineStr">
        <is>
          <t>Mid Cap</t>
        </is>
      </c>
      <c r="E78" s="11" t="inlineStr">
        <is>
          <t>Nifty Midcap 150 - TRI</t>
        </is>
      </c>
      <c r="F78" s="8" t="n">
        <v>61694</v>
      </c>
      <c r="G78" s="8" t="n">
        <v>19</v>
      </c>
      <c r="H78" s="8" t="n">
        <v>19.69</v>
      </c>
      <c r="I78" s="8" t="n">
        <v>17.32</v>
      </c>
      <c r="J78" s="8" t="n">
        <v>1.38</v>
      </c>
      <c r="K78" s="23" t="inlineStr">
        <is>
          <t>AUM &gt; 30000 Cr</t>
        </is>
      </c>
      <c r="L78" s="11" t="inlineStr"/>
      <c r="M78" s="8" t="inlineStr">
        <is>
          <t>No</t>
        </is>
      </c>
    </row>
    <row r="79" ht="30" customHeight="1">
      <c r="A79" s="14" t="n">
        <v>75</v>
      </c>
      <c r="B79" s="16" t="inlineStr">
        <is>
          <t>Nippon India Growth Mid Cap Fund(G)</t>
        </is>
      </c>
      <c r="C79" s="16" t="inlineStr">
        <is>
          <t>Nippon Life India Asset Management Limited</t>
        </is>
      </c>
      <c r="D79" s="14" t="inlineStr">
        <is>
          <t>Mid Cap</t>
        </is>
      </c>
      <c r="E79" s="16" t="inlineStr">
        <is>
          <t>Nifty Midcap 150 - TRI</t>
        </is>
      </c>
      <c r="F79" s="14" t="n">
        <v>43983</v>
      </c>
      <c r="G79" s="14" t="n">
        <v>30.5</v>
      </c>
      <c r="H79" s="14" t="n">
        <v>24.46</v>
      </c>
      <c r="I79" s="14" t="n">
        <v>20.54</v>
      </c>
      <c r="J79" s="14" t="n">
        <v>1.52</v>
      </c>
      <c r="K79" s="23" t="inlineStr">
        <is>
          <t>AUM &gt; 30000 Cr</t>
        </is>
      </c>
      <c r="L79" s="16" t="inlineStr"/>
      <c r="M79" s="14" t="inlineStr">
        <is>
          <t>No</t>
        </is>
      </c>
    </row>
    <row r="80" ht="30" customHeight="1">
      <c r="A80" s="8" t="n">
        <v>76</v>
      </c>
      <c r="B80" s="11" t="inlineStr">
        <is>
          <t>Motilal Oswal Midcap Fund-Reg(G)</t>
        </is>
      </c>
      <c r="C80" s="11" t="inlineStr">
        <is>
          <t>Motilal Oswal Asset Management Company Limited</t>
        </is>
      </c>
      <c r="D80" s="8" t="inlineStr">
        <is>
          <t>Mid Cap</t>
        </is>
      </c>
      <c r="E80" s="11" t="inlineStr">
        <is>
          <t>Nifty Midcap 150 - TRI</t>
        </is>
      </c>
      <c r="F80" s="8" t="n">
        <v>33689</v>
      </c>
      <c r="G80" s="8" t="n">
        <v>12.1</v>
      </c>
      <c r="H80" s="8" t="n">
        <v>19.74</v>
      </c>
      <c r="I80" s="8" t="n">
        <v>21.07</v>
      </c>
      <c r="J80" s="8" t="n">
        <v>1.57</v>
      </c>
      <c r="K80" s="23" t="inlineStr">
        <is>
          <t>AUM &gt; 30000 Cr</t>
        </is>
      </c>
      <c r="L80" s="11" t="inlineStr"/>
      <c r="M80" s="8" t="inlineStr">
        <is>
          <t>No</t>
        </is>
      </c>
    </row>
    <row r="81" ht="30" customHeight="1">
      <c r="A81" s="14" t="n">
        <v>77</v>
      </c>
      <c r="B81" s="16" t="inlineStr">
        <is>
          <t>Axis Midcap Fund-Reg(G)</t>
        </is>
      </c>
      <c r="C81" s="16" t="inlineStr">
        <is>
          <t>Axis Asset Management Company Ltd.</t>
        </is>
      </c>
      <c r="D81" s="14" t="inlineStr">
        <is>
          <t>Mid Cap</t>
        </is>
      </c>
      <c r="E81" s="16" t="inlineStr">
        <is>
          <t>BSE 150 MidCap - TRI</t>
        </is>
      </c>
      <c r="F81" s="14" t="n">
        <v>31977</v>
      </c>
      <c r="G81" s="14" t="n">
        <v>15.1</v>
      </c>
      <c r="H81" s="14" t="n">
        <v>18.62</v>
      </c>
      <c r="I81" s="14" t="n">
        <v>14.31</v>
      </c>
      <c r="J81" s="14" t="n">
        <v>1.56</v>
      </c>
      <c r="K81" s="23" t="inlineStr">
        <is>
          <t>AUM &gt; 30000 Cr</t>
        </is>
      </c>
      <c r="L81" s="16" t="inlineStr"/>
      <c r="M81" s="14" t="inlineStr">
        <is>
          <t>No</t>
        </is>
      </c>
    </row>
    <row r="82" ht="30" customHeight="1">
      <c r="A82" s="8" t="n">
        <v>78</v>
      </c>
      <c r="B82" s="11" t="inlineStr">
        <is>
          <t>SBI Midcap Fund-Reg(G)</t>
        </is>
      </c>
      <c r="C82" s="11" t="inlineStr">
        <is>
          <t>SBI Funds Management Limited</t>
        </is>
      </c>
      <c r="D82" s="8" t="inlineStr">
        <is>
          <t>Mid Cap</t>
        </is>
      </c>
      <c r="E82" s="11" t="inlineStr">
        <is>
          <t>Nifty Midcap 150 - TRI</t>
        </is>
      </c>
      <c r="F82" s="8" t="n">
        <v>23154</v>
      </c>
      <c r="G82" s="8" t="n">
        <v>21</v>
      </c>
      <c r="H82" s="8" t="n">
        <v>14.98</v>
      </c>
      <c r="I82" s="8" t="n">
        <v>14.9</v>
      </c>
      <c r="J82" s="8" t="n">
        <v>1.66</v>
      </c>
      <c r="K82" s="23" t="inlineStr">
        <is>
          <t>PASS</t>
        </is>
      </c>
      <c r="L82" s="11" t="inlineStr"/>
      <c r="M82" s="8" t="inlineStr">
        <is>
          <t>Yes</t>
        </is>
      </c>
    </row>
    <row r="83" ht="30" customHeight="1">
      <c r="A83" s="14" t="n">
        <v>79</v>
      </c>
      <c r="B83" s="16" t="inlineStr">
        <is>
          <t>DSP Midcap Fund-Reg(G)</t>
        </is>
      </c>
      <c r="C83" s="16" t="inlineStr">
        <is>
          <t>DSP Investment Managers Private Limited</t>
        </is>
      </c>
      <c r="D83" s="14" t="inlineStr">
        <is>
          <t>Mid Cap</t>
        </is>
      </c>
      <c r="E83" s="16" t="inlineStr">
        <is>
          <t>Nifty Midcap 150 - TRI</t>
        </is>
      </c>
      <c r="F83" s="14" t="n">
        <v>19641</v>
      </c>
      <c r="G83" s="14" t="n">
        <v>19.4</v>
      </c>
      <c r="H83" s="14" t="n">
        <v>19.01</v>
      </c>
      <c r="I83" s="14" t="n">
        <v>12.61</v>
      </c>
      <c r="J83" s="14" t="n">
        <v>1.67</v>
      </c>
      <c r="K83" s="23" t="inlineStr">
        <is>
          <t>PASS</t>
        </is>
      </c>
      <c r="L83" s="16" t="inlineStr"/>
      <c r="M83" s="14" t="inlineStr">
        <is>
          <t>Yes</t>
        </is>
      </c>
    </row>
    <row r="84" ht="30" customHeight="1">
      <c r="A84" s="8" t="n">
        <v>80</v>
      </c>
      <c r="B84" s="11" t="inlineStr">
        <is>
          <t>Mirae Asset Midcap Fund-Reg(G)</t>
        </is>
      </c>
      <c r="C84" s="11" t="inlineStr">
        <is>
          <t>Mirae Asset Investment Managers (India) Private Limited</t>
        </is>
      </c>
      <c r="D84" s="8" t="inlineStr">
        <is>
          <t>Mid Cap</t>
        </is>
      </c>
      <c r="E84" s="11" t="inlineStr">
        <is>
          <t>Nifty Midcap 150 - TRI</t>
        </is>
      </c>
      <c r="F84" s="8" t="n">
        <v>18070</v>
      </c>
      <c r="G84" s="8" t="n">
        <v>6.7</v>
      </c>
      <c r="H84" s="8" t="n">
        <v>19.26</v>
      </c>
      <c r="I84" s="8" t="n">
        <v>16.41</v>
      </c>
      <c r="J84" s="8" t="n">
        <v>1.65</v>
      </c>
      <c r="K84" s="23" t="inlineStr">
        <is>
          <t>PASS</t>
        </is>
      </c>
      <c r="L84" s="11" t="inlineStr"/>
      <c r="M84" s="8" t="inlineStr">
        <is>
          <t>Yes</t>
        </is>
      </c>
    </row>
    <row r="85" ht="30" customHeight="1">
      <c r="A85" s="14" t="n">
        <v>81</v>
      </c>
      <c r="B85" s="16" t="inlineStr">
        <is>
          <t>Edelweiss Mid Cap Fund-Reg(G)</t>
        </is>
      </c>
      <c r="C85" s="16" t="inlineStr">
        <is>
          <t>Edelweiss Asset Management Limited</t>
        </is>
      </c>
      <c r="D85" s="14" t="inlineStr">
        <is>
          <t>Mid Cap</t>
        </is>
      </c>
      <c r="E85" s="16" t="inlineStr">
        <is>
          <t>Nifty Midcap 150 - TRI</t>
        </is>
      </c>
      <c r="F85" s="14" t="n">
        <v>14355</v>
      </c>
      <c r="G85" s="14" t="n">
        <v>18.3</v>
      </c>
      <c r="H85" s="14" t="n">
        <v>23.86</v>
      </c>
      <c r="I85" s="14" t="n">
        <v>19.49</v>
      </c>
      <c r="J85" s="14" t="n">
        <v>1.67</v>
      </c>
      <c r="K85" s="23" t="inlineStr">
        <is>
          <t>PASS</t>
        </is>
      </c>
      <c r="L85" s="16" t="inlineStr"/>
      <c r="M85" s="14" t="inlineStr">
        <is>
          <t>Yes</t>
        </is>
      </c>
    </row>
    <row r="86" ht="30" customHeight="1">
      <c r="A86" s="8" t="n">
        <v>82</v>
      </c>
      <c r="B86" s="11" t="inlineStr">
        <is>
          <t>Sundaram Mid Cap Fund-Reg(G)</t>
        </is>
      </c>
      <c r="C86" s="11" t="inlineStr">
        <is>
          <t>Sundaram Asset Management Company Limited</t>
        </is>
      </c>
      <c r="D86" s="8" t="inlineStr">
        <is>
          <t>Mid Cap</t>
        </is>
      </c>
      <c r="E86" s="11" t="inlineStr">
        <is>
          <t>Nifty Midcap 150 - TRI</t>
        </is>
      </c>
      <c r="F86" s="8" t="n">
        <v>13235</v>
      </c>
      <c r="G86" s="8" t="n">
        <v>23.7</v>
      </c>
      <c r="H86" s="8" t="n">
        <v>22.91</v>
      </c>
      <c r="I86" s="8" t="n">
        <v>18.09</v>
      </c>
      <c r="J86" s="8" t="n">
        <v>1.73</v>
      </c>
      <c r="K86" s="23" t="inlineStr">
        <is>
          <t>PASS</t>
        </is>
      </c>
      <c r="L86" s="11" t="inlineStr"/>
      <c r="M86" s="8" t="inlineStr">
        <is>
          <t>Yes</t>
        </is>
      </c>
    </row>
    <row r="87" ht="30" customHeight="1">
      <c r="A87" s="14" t="n">
        <v>83</v>
      </c>
      <c r="B87" s="16" t="inlineStr">
        <is>
          <t>HSBC Midcap Fund-Reg(G)</t>
        </is>
      </c>
      <c r="C87" s="16" t="inlineStr">
        <is>
          <t>HSBC Global Asset Management (India) Private Limited</t>
        </is>
      </c>
      <c r="D87" s="14" t="inlineStr">
        <is>
          <t>Mid Cap</t>
        </is>
      </c>
      <c r="E87" s="16" t="inlineStr">
        <is>
          <t>Nifty Midcap 150 - TRI</t>
        </is>
      </c>
      <c r="F87" s="14" t="n">
        <v>12448</v>
      </c>
      <c r="G87" s="14" t="n">
        <v>21.7</v>
      </c>
      <c r="H87" s="14" t="n">
        <v>23.37</v>
      </c>
      <c r="I87" s="14" t="n">
        <v>16.87</v>
      </c>
      <c r="J87" s="14" t="n">
        <v>1.72</v>
      </c>
      <c r="K87" s="23" t="inlineStr">
        <is>
          <t>PASS</t>
        </is>
      </c>
      <c r="L87" s="16" t="inlineStr"/>
      <c r="M87" s="14" t="inlineStr">
        <is>
          <t>Yes</t>
        </is>
      </c>
    </row>
    <row r="88" ht="30" customHeight="1">
      <c r="A88" s="8" t="n">
        <v>84</v>
      </c>
      <c r="B88" s="11" t="inlineStr">
        <is>
          <t>Franklin India Mid Cap Fund(G)</t>
        </is>
      </c>
      <c r="C88" s="11" t="inlineStr">
        <is>
          <t>Franklin Templeton Asset Management (India) Private Limited</t>
        </is>
      </c>
      <c r="D88" s="8" t="inlineStr">
        <is>
          <t>Mid Cap</t>
        </is>
      </c>
      <c r="E88" s="11" t="inlineStr">
        <is>
          <t>Nifty Midcap 150 - TRI</t>
        </is>
      </c>
      <c r="F88" s="8" t="n">
        <v>12328</v>
      </c>
      <c r="G88" s="8" t="n">
        <v>32.3</v>
      </c>
      <c r="H88" s="8" t="n">
        <v>19.43</v>
      </c>
      <c r="I88" s="8" t="n">
        <v>14.77</v>
      </c>
      <c r="J88" s="8" t="n">
        <v>1.77</v>
      </c>
      <c r="K88" s="23" t="inlineStr">
        <is>
          <t>PASS</t>
        </is>
      </c>
      <c r="L88" s="11" t="inlineStr"/>
      <c r="M88" s="8" t="inlineStr">
        <is>
          <t>Yes</t>
        </is>
      </c>
    </row>
    <row r="89" ht="30" customHeight="1">
      <c r="A89" s="14" t="n">
        <v>85</v>
      </c>
      <c r="B89" s="16" t="inlineStr">
        <is>
          <t>UTI Mid Cap Fund-Reg(IDCW)</t>
        </is>
      </c>
      <c r="C89" s="16" t="inlineStr">
        <is>
          <t>UTI Asset Management Company Private Limited</t>
        </is>
      </c>
      <c r="D89" s="14" t="inlineStr">
        <is>
          <t>Mid Cap</t>
        </is>
      </c>
      <c r="E89" s="16" t="inlineStr">
        <is>
          <t>Nifty Midcap 150 - TRI</t>
        </is>
      </c>
      <c r="F89" s="14" t="n">
        <v>11734</v>
      </c>
      <c r="G89" s="14" t="n">
        <v>22</v>
      </c>
      <c r="H89" s="14" t="n">
        <v>16.11</v>
      </c>
      <c r="I89" s="14" t="n">
        <v>13.56</v>
      </c>
      <c r="J89" s="14" t="n">
        <v>1.76</v>
      </c>
      <c r="K89" s="23" t="inlineStr">
        <is>
          <t>PASS</t>
        </is>
      </c>
      <c r="L89" s="16" t="inlineStr"/>
      <c r="M89" s="14" t="inlineStr">
        <is>
          <t>Yes</t>
        </is>
      </c>
    </row>
    <row r="90" ht="30" customHeight="1">
      <c r="A90" s="8" t="n">
        <v>86</v>
      </c>
      <c r="B90" s="11" t="inlineStr">
        <is>
          <t>PGIM India Midcap Fund-Reg(G)</t>
        </is>
      </c>
      <c r="C90" s="11" t="inlineStr">
        <is>
          <t>PGIM India Asset Management Private Limited</t>
        </is>
      </c>
      <c r="D90" s="8" t="inlineStr">
        <is>
          <t>Mid Cap</t>
        </is>
      </c>
      <c r="E90" s="11" t="inlineStr">
        <is>
          <t>Nifty Midcap 150 - TRI</t>
        </is>
      </c>
      <c r="F90" s="8" t="n">
        <v>10877</v>
      </c>
      <c r="G90" s="8" t="n">
        <v>12.3</v>
      </c>
      <c r="H90" s="8" t="n">
        <v>11.88</v>
      </c>
      <c r="I90" s="8" t="n">
        <v>13.26</v>
      </c>
      <c r="J90" s="8" t="n">
        <v>1.71</v>
      </c>
      <c r="K90" s="23" t="inlineStr">
        <is>
          <t>PASS</t>
        </is>
      </c>
      <c r="L90" s="11" t="inlineStr"/>
      <c r="M90" s="8" t="inlineStr">
        <is>
          <t>Yes</t>
        </is>
      </c>
    </row>
    <row r="91" ht="30" customHeight="1">
      <c r="A91" s="14" t="n">
        <v>87</v>
      </c>
      <c r="B91" s="16" t="inlineStr">
        <is>
          <t>Invesco India Midcap Fund-Reg(G)</t>
        </is>
      </c>
      <c r="C91" s="16" t="inlineStr">
        <is>
          <t>Invesco Asset Management Company Pvt Ltd.</t>
        </is>
      </c>
      <c r="D91" s="14" t="inlineStr">
        <is>
          <t>Mid Cap</t>
        </is>
      </c>
      <c r="E91" s="16" t="inlineStr">
        <is>
          <t>BSE 150 MidCap - TRI</t>
        </is>
      </c>
      <c r="F91" s="14" t="n">
        <v>10772</v>
      </c>
      <c r="G91" s="14" t="n">
        <v>19</v>
      </c>
      <c r="H91" s="14" t="n">
        <v>24.54</v>
      </c>
      <c r="I91" s="14" t="n">
        <v>18.85</v>
      </c>
      <c r="J91" s="14" t="n">
        <v>1.71</v>
      </c>
      <c r="K91" s="23" t="inlineStr">
        <is>
          <t>PASS</t>
        </is>
      </c>
      <c r="L91" s="16" t="inlineStr"/>
      <c r="M91" s="14" t="inlineStr">
        <is>
          <t>Yes</t>
        </is>
      </c>
    </row>
    <row r="92" ht="30" customHeight="1">
      <c r="A92" s="8" t="n">
        <v>88</v>
      </c>
      <c r="B92" s="11" t="inlineStr">
        <is>
          <t>Quant Mid Cap Fund(G)</t>
        </is>
      </c>
      <c r="C92" s="11" t="inlineStr">
        <is>
          <t>Quant Money Managers Limited</t>
        </is>
      </c>
      <c r="D92" s="8" t="inlineStr">
        <is>
          <t>Mid Cap</t>
        </is>
      </c>
      <c r="E92" s="11" t="inlineStr">
        <is>
          <t>Nifty Midcap 150 - TRI</t>
        </is>
      </c>
      <c r="F92" s="8" t="n">
        <v>7341</v>
      </c>
      <c r="G92" s="8" t="n">
        <v>25.1</v>
      </c>
      <c r="H92" s="8" t="n">
        <v>15.62</v>
      </c>
      <c r="I92" s="8" t="n">
        <v>17.9</v>
      </c>
      <c r="J92" s="8" t="n">
        <v>1.82</v>
      </c>
      <c r="K92" s="23" t="inlineStr">
        <is>
          <t>PASS</t>
        </is>
      </c>
      <c r="L92" s="11" t="inlineStr"/>
      <c r="M92" s="8" t="inlineStr">
        <is>
          <t>Yes</t>
        </is>
      </c>
    </row>
    <row r="93" ht="30" customHeight="1">
      <c r="A93" s="14" t="n">
        <v>89</v>
      </c>
      <c r="B93" s="16" t="inlineStr">
        <is>
          <t>ICICI Pru Midcap Fund(G)</t>
        </is>
      </c>
      <c r="C93" s="16" t="inlineStr">
        <is>
          <t>ICICI Prudential Asset Management Company Limited</t>
        </is>
      </c>
      <c r="D93" s="14" t="inlineStr">
        <is>
          <t>Mid Cap</t>
        </is>
      </c>
      <c r="E93" s="16" t="inlineStr">
        <is>
          <t>Nifty Midcap 150 - TRI</t>
        </is>
      </c>
      <c r="F93" s="14" t="n">
        <v>7280</v>
      </c>
      <c r="G93" s="14" t="n">
        <v>21.4</v>
      </c>
      <c r="H93" s="14" t="n">
        <v>23.91</v>
      </c>
      <c r="I93" s="14" t="n">
        <v>18.6</v>
      </c>
      <c r="J93" s="14" t="n">
        <v>1.85</v>
      </c>
      <c r="K93" s="23" t="inlineStr">
        <is>
          <t>PASS</t>
        </is>
      </c>
      <c r="L93" s="16" t="inlineStr"/>
      <c r="M93" s="14" t="inlineStr">
        <is>
          <t>Yes</t>
        </is>
      </c>
    </row>
    <row r="94" ht="30" customHeight="1">
      <c r="A94" s="8" t="n">
        <v>90</v>
      </c>
      <c r="B94" s="11" t="inlineStr">
        <is>
          <t>Aditya Birla SL Midcap Fund(G)</t>
        </is>
      </c>
      <c r="C94" s="11" t="inlineStr">
        <is>
          <t>Aditya Birla Sun Life AMC Limited</t>
        </is>
      </c>
      <c r="D94" s="8" t="inlineStr">
        <is>
          <t>Mid Cap</t>
        </is>
      </c>
      <c r="E94" s="11" t="inlineStr">
        <is>
          <t>Nifty Midcap 150 - TRI</t>
        </is>
      </c>
      <c r="F94" s="8" t="n">
        <v>6130</v>
      </c>
      <c r="G94" s="8" t="n">
        <v>23.5</v>
      </c>
      <c r="H94" s="8" t="n">
        <v>18.78</v>
      </c>
      <c r="I94" s="8" t="n">
        <v>15.54</v>
      </c>
      <c r="J94" s="8" t="n">
        <v>1.87</v>
      </c>
      <c r="K94" s="23" t="inlineStr">
        <is>
          <t>PASS</t>
        </is>
      </c>
      <c r="L94" s="11" t="inlineStr"/>
      <c r="M94" s="8" t="inlineStr">
        <is>
          <t>Yes</t>
        </is>
      </c>
    </row>
    <row r="95" ht="30" customHeight="1">
      <c r="A95" s="14" t="n">
        <v>91</v>
      </c>
      <c r="B95" s="16" t="inlineStr">
        <is>
          <t>Tata Mid Cap Fund-Reg(G)</t>
        </is>
      </c>
      <c r="C95" s="16" t="inlineStr">
        <is>
          <t>Tata Asset Management Private Limited</t>
        </is>
      </c>
      <c r="D95" s="14" t="inlineStr">
        <is>
          <t>Mid Cap</t>
        </is>
      </c>
      <c r="E95" s="16" t="inlineStr">
        <is>
          <t>Nifty Midcap 150 - TRI</t>
        </is>
      </c>
      <c r="F95" s="14" t="n">
        <v>5505</v>
      </c>
      <c r="G95" s="14" t="n">
        <v>31.8</v>
      </c>
      <c r="H95" s="14" t="n">
        <v>20.14</v>
      </c>
      <c r="I95" s="14" t="n">
        <v>16.15</v>
      </c>
      <c r="J95" s="14" t="n">
        <v>1.83</v>
      </c>
      <c r="K95" s="23" t="inlineStr">
        <is>
          <t>PASS</t>
        </is>
      </c>
      <c r="L95" s="16" t="inlineStr"/>
      <c r="M95" s="14" t="inlineStr">
        <is>
          <t>Yes</t>
        </is>
      </c>
    </row>
    <row r="96" ht="30" customHeight="1">
      <c r="A96" s="8" t="n">
        <v>92</v>
      </c>
      <c r="B96" s="11" t="inlineStr">
        <is>
          <t>WOC Mid Cap Fund-Reg(G)</t>
        </is>
      </c>
      <c r="C96" s="11" t="inlineStr">
        <is>
          <t>WhiteOak Capital Asset Management Limited</t>
        </is>
      </c>
      <c r="D96" s="8" t="inlineStr">
        <is>
          <t>Mid Cap</t>
        </is>
      </c>
      <c r="E96" s="11" t="inlineStr">
        <is>
          <t>BSE 150 MidCap - TRI</t>
        </is>
      </c>
      <c r="F96" s="8" t="n">
        <v>4695</v>
      </c>
      <c r="G96" s="8" t="n">
        <v>3.6</v>
      </c>
      <c r="H96" s="8" t="n">
        <v>24.58</v>
      </c>
      <c r="I96" s="8" t="inlineStr"/>
      <c r="J96" s="8" t="n">
        <v>1.85</v>
      </c>
      <c r="K96" s="23" t="inlineStr">
        <is>
          <t>PASS</t>
        </is>
      </c>
      <c r="L96" s="11" t="inlineStr"/>
      <c r="M96" s="8" t="inlineStr">
        <is>
          <t>Yes</t>
        </is>
      </c>
    </row>
    <row r="97" ht="30" customHeight="1">
      <c r="A97" s="14" t="n">
        <v>93</v>
      </c>
      <c r="B97" s="16" t="inlineStr">
        <is>
          <t>Mahindra Manulife Mid Cap Fund-Reg(G)</t>
        </is>
      </c>
      <c r="C97" s="16" t="inlineStr">
        <is>
          <t>Mahindra Manulife Investment Management Private Limited</t>
        </is>
      </c>
      <c r="D97" s="14" t="inlineStr">
        <is>
          <t>Mid Cap</t>
        </is>
      </c>
      <c r="E97" s="16" t="inlineStr">
        <is>
          <t>Nifty Midcap 150 - TRI</t>
        </is>
      </c>
      <c r="F97" s="14" t="n">
        <v>4440</v>
      </c>
      <c r="G97" s="14" t="n">
        <v>8.199999999999999</v>
      </c>
      <c r="H97" s="14" t="n">
        <v>23.17</v>
      </c>
      <c r="I97" s="14" t="n">
        <v>18.93</v>
      </c>
      <c r="J97" s="14" t="n">
        <v>1.87</v>
      </c>
      <c r="K97" s="23" t="inlineStr">
        <is>
          <t>PASS</t>
        </is>
      </c>
      <c r="L97" s="16" t="inlineStr"/>
      <c r="M97" s="14" t="inlineStr">
        <is>
          <t>Yes</t>
        </is>
      </c>
    </row>
    <row r="98" ht="30" customHeight="1">
      <c r="A98" s="8" t="n">
        <v>94</v>
      </c>
      <c r="B98" s="11" t="inlineStr">
        <is>
          <t>Canara Rob Mid Cap Fund-Reg(G)</t>
        </is>
      </c>
      <c r="C98" s="11" t="inlineStr">
        <is>
          <t>Canara Robeco Asset Management Company Limited</t>
        </is>
      </c>
      <c r="D98" s="8" t="inlineStr">
        <is>
          <t>Mid Cap</t>
        </is>
      </c>
      <c r="E98" s="11" t="inlineStr">
        <is>
          <t>BSE 150 MidCap - TRI</t>
        </is>
      </c>
      <c r="F98" s="8" t="n">
        <v>4199</v>
      </c>
      <c r="G98" s="8" t="n">
        <v>3.3</v>
      </c>
      <c r="H98" s="8" t="n">
        <v>18.5</v>
      </c>
      <c r="I98" s="8" t="inlineStr"/>
      <c r="J98" s="8" t="n">
        <v>1.88</v>
      </c>
      <c r="K98" s="23" t="inlineStr">
        <is>
          <t>PASS</t>
        </is>
      </c>
      <c r="L98" s="11" t="inlineStr"/>
      <c r="M98" s="8" t="inlineStr">
        <is>
          <t>Yes</t>
        </is>
      </c>
    </row>
    <row r="99" ht="30" customHeight="1">
      <c r="A99" s="14" t="n">
        <v>95</v>
      </c>
      <c r="B99" s="16" t="inlineStr">
        <is>
          <t>Baroda BNP Paribas Mid Cap Fund-Reg(G)</t>
        </is>
      </c>
      <c r="C99" s="16" t="inlineStr">
        <is>
          <t>Baroda BNP Paribas Asset Management India Pvt. Ltd.</t>
        </is>
      </c>
      <c r="D99" s="14" t="inlineStr">
        <is>
          <t>Mid Cap</t>
        </is>
      </c>
      <c r="E99" s="16" t="inlineStr">
        <is>
          <t>Nifty Midcap 150 - TRI</t>
        </is>
      </c>
      <c r="F99" s="14" t="n">
        <v>2341</v>
      </c>
      <c r="G99" s="14" t="n">
        <v>19.9</v>
      </c>
      <c r="H99" s="14" t="n">
        <v>20.03</v>
      </c>
      <c r="I99" s="14" t="n">
        <v>16.37</v>
      </c>
      <c r="J99" s="14" t="n">
        <v>1.97</v>
      </c>
      <c r="K99" s="23" t="inlineStr">
        <is>
          <t>PASS</t>
        </is>
      </c>
      <c r="L99" s="16" t="inlineStr"/>
      <c r="M99" s="14" t="inlineStr">
        <is>
          <t>Yes</t>
        </is>
      </c>
    </row>
    <row r="100" ht="30" customHeight="1">
      <c r="A100" s="8" t="n">
        <v>96</v>
      </c>
      <c r="B100" s="11" t="inlineStr">
        <is>
          <t>Bandhan Midcap Fund-Reg(G)</t>
        </is>
      </c>
      <c r="C100" s="11" t="inlineStr">
        <is>
          <t>Bandhan AMC Limited</t>
        </is>
      </c>
      <c r="D100" s="8" t="inlineStr">
        <is>
          <t>Mid Cap</t>
        </is>
      </c>
      <c r="E100" s="11" t="inlineStr">
        <is>
          <t>BSE 150 MidCap - TRI</t>
        </is>
      </c>
      <c r="F100" s="8" t="n">
        <v>2008</v>
      </c>
      <c r="G100" s="8" t="n">
        <v>3.6</v>
      </c>
      <c r="H100" s="8" t="n">
        <v>19.12</v>
      </c>
      <c r="I100" s="8" t="inlineStr"/>
      <c r="J100" s="8" t="n">
        <v>2.05</v>
      </c>
      <c r="K100" s="23" t="inlineStr">
        <is>
          <t>PASS</t>
        </is>
      </c>
      <c r="L100" s="11" t="inlineStr"/>
      <c r="M100" s="8" t="inlineStr">
        <is>
          <t>Yes</t>
        </is>
      </c>
    </row>
    <row r="101" ht="30" customHeight="1">
      <c r="A101" s="14" t="n">
        <v>97</v>
      </c>
      <c r="B101" s="16" t="inlineStr">
        <is>
          <t>Union Midcap Fund-Reg(G)</t>
        </is>
      </c>
      <c r="C101" s="16" t="inlineStr">
        <is>
          <t>Union Asset Management Company Pvt. Ltd.</t>
        </is>
      </c>
      <c r="D101" s="14" t="inlineStr">
        <is>
          <t>Mid Cap</t>
        </is>
      </c>
      <c r="E101" s="16" t="inlineStr">
        <is>
          <t>BSE 150 MidCap - TRI</t>
        </is>
      </c>
      <c r="F101" s="14" t="n">
        <v>1652</v>
      </c>
      <c r="G101" s="14" t="n">
        <v>6</v>
      </c>
      <c r="H101" s="14" t="n">
        <v>19.74</v>
      </c>
      <c r="I101" s="14" t="n">
        <v>16.54</v>
      </c>
      <c r="J101" s="14" t="n">
        <v>2.08</v>
      </c>
      <c r="K101" s="23" t="inlineStr">
        <is>
          <t>PASS</t>
        </is>
      </c>
      <c r="L101" s="16" t="inlineStr"/>
      <c r="M101" s="14" t="inlineStr">
        <is>
          <t>Yes</t>
        </is>
      </c>
    </row>
    <row r="102" ht="30" customHeight="1">
      <c r="A102" s="8" t="n">
        <v>98</v>
      </c>
      <c r="B102" s="11" t="inlineStr">
        <is>
          <t>ITI Mid Cap Fund-Reg(G)</t>
        </is>
      </c>
      <c r="C102" s="11" t="inlineStr">
        <is>
          <t>ITI Asset Management Limited</t>
        </is>
      </c>
      <c r="D102" s="8" t="inlineStr">
        <is>
          <t>Mid Cap</t>
        </is>
      </c>
      <c r="E102" s="11" t="inlineStr">
        <is>
          <t>Nifty Midcap 150 - TRI</t>
        </is>
      </c>
      <c r="F102" s="8" t="n">
        <v>1325</v>
      </c>
      <c r="G102" s="8" t="n">
        <v>5.1</v>
      </c>
      <c r="H102" s="8" t="n">
        <v>22.29</v>
      </c>
      <c r="I102" s="8" t="n">
        <v>14.71</v>
      </c>
      <c r="J102" s="8" t="n">
        <v>1.99</v>
      </c>
      <c r="K102" s="23" t="inlineStr">
        <is>
          <t>PASS</t>
        </is>
      </c>
      <c r="L102" s="11" t="inlineStr"/>
      <c r="M102" s="8" t="inlineStr">
        <is>
          <t>Yes</t>
        </is>
      </c>
    </row>
    <row r="103" ht="30" customHeight="1">
      <c r="A103" s="14" t="n">
        <v>99</v>
      </c>
      <c r="B103" s="16" t="inlineStr">
        <is>
          <t>Helios Mid Cap Fund-Reg(G)</t>
        </is>
      </c>
      <c r="C103" s="16" t="inlineStr">
        <is>
          <t>Helios Capital Asset Management (India) Private Limited</t>
        </is>
      </c>
      <c r="D103" s="14" t="inlineStr">
        <is>
          <t>Mid Cap</t>
        </is>
      </c>
      <c r="E103" s="16" t="inlineStr">
        <is>
          <t>Nifty Midcap 150 - TRI</t>
        </is>
      </c>
      <c r="F103" s="14" t="n">
        <v>1228</v>
      </c>
      <c r="G103" s="14" t="n">
        <v>1</v>
      </c>
      <c r="H103" s="14" t="inlineStr"/>
      <c r="I103" s="14" t="inlineStr"/>
      <c r="J103" s="14" t="n">
        <v>2.12</v>
      </c>
      <c r="K103" s="23" t="inlineStr">
        <is>
          <t>Track record &lt; 3.0Y; No 3Y return data</t>
        </is>
      </c>
      <c r="L103" s="16" t="inlineStr"/>
      <c r="M103" s="14" t="inlineStr">
        <is>
          <t>No</t>
        </is>
      </c>
    </row>
    <row r="104" ht="30" customHeight="1">
      <c r="A104" s="8" t="n">
        <v>100</v>
      </c>
      <c r="B104" s="11" t="inlineStr">
        <is>
          <t>JM Midcap Fund-Reg(G)</t>
        </is>
      </c>
      <c r="C104" s="11" t="inlineStr">
        <is>
          <t>JM Financial Asset Management Private Limited</t>
        </is>
      </c>
      <c r="D104" s="8" t="inlineStr">
        <is>
          <t>Mid Cap</t>
        </is>
      </c>
      <c r="E104" s="11" t="inlineStr">
        <is>
          <t>Nifty Midcap 150 - TRI</t>
        </is>
      </c>
      <c r="F104" s="8" t="n">
        <v>1134</v>
      </c>
      <c r="G104" s="8" t="n">
        <v>3.4</v>
      </c>
      <c r="H104" s="8" t="n">
        <v>21.26</v>
      </c>
      <c r="I104" s="8" t="inlineStr"/>
      <c r="J104" s="8" t="n">
        <v>2.16</v>
      </c>
      <c r="K104" s="23" t="inlineStr">
        <is>
          <t>PASS</t>
        </is>
      </c>
      <c r="L104" s="11" t="inlineStr"/>
      <c r="M104" s="8" t="inlineStr">
        <is>
          <t>Yes</t>
        </is>
      </c>
    </row>
    <row r="105" ht="30" customHeight="1">
      <c r="A105" s="14" t="n">
        <v>101</v>
      </c>
      <c r="B105" s="16" t="inlineStr">
        <is>
          <t>Bank of India Mid Cap Fund-Reg(G)</t>
        </is>
      </c>
      <c r="C105" s="16" t="inlineStr">
        <is>
          <t>Bank of India Investment Managers Private Limited</t>
        </is>
      </c>
      <c r="D105" s="14" t="inlineStr">
        <is>
          <t>Mid Cap</t>
        </is>
      </c>
      <c r="E105" s="16" t="inlineStr">
        <is>
          <t>Nifty Midcap 150 - TRI</t>
        </is>
      </c>
      <c r="F105" s="14" t="n">
        <v>677</v>
      </c>
      <c r="G105" s="14" t="n">
        <v>0.6</v>
      </c>
      <c r="H105" s="14" t="inlineStr"/>
      <c r="I105" s="14" t="inlineStr"/>
      <c r="J105" s="14" t="n">
        <v>2.23</v>
      </c>
      <c r="K105" s="23" t="inlineStr">
        <is>
          <t>AUM &lt; 1000 Cr; Track record &lt; 3.0Y; No 3Y return data</t>
        </is>
      </c>
      <c r="L105" s="16" t="inlineStr"/>
      <c r="M105" s="14" t="inlineStr">
        <is>
          <t>No</t>
        </is>
      </c>
    </row>
    <row r="106" ht="30" customHeight="1">
      <c r="A106" s="8" t="n">
        <v>102</v>
      </c>
      <c r="B106" s="11" t="inlineStr">
        <is>
          <t>LIC MF Midcap Fund-Reg(G)</t>
        </is>
      </c>
      <c r="C106" s="11" t="inlineStr">
        <is>
          <t>LIC Mutual Fund Asset Management Limited</t>
        </is>
      </c>
      <c r="D106" s="8" t="inlineStr">
        <is>
          <t>Mid Cap</t>
        </is>
      </c>
      <c r="E106" s="11" t="inlineStr">
        <is>
          <t>Nifty Midcap 150 - TRI</t>
        </is>
      </c>
      <c r="F106" s="8" t="n">
        <v>337</v>
      </c>
      <c r="G106" s="8" t="n">
        <v>9.199999999999999</v>
      </c>
      <c r="H106" s="8" t="n">
        <v>18.72</v>
      </c>
      <c r="I106" s="8" t="n">
        <v>12.82</v>
      </c>
      <c r="J106" s="8" t="n">
        <v>2.5</v>
      </c>
      <c r="K106" s="23" t="inlineStr">
        <is>
          <t>AUM &lt; 1000 Cr</t>
        </is>
      </c>
      <c r="L106" s="11" t="inlineStr"/>
      <c r="M106" s="8" t="inlineStr">
        <is>
          <t>No</t>
        </is>
      </c>
    </row>
    <row r="107" ht="30" customHeight="1">
      <c r="A107" s="14" t="n">
        <v>103</v>
      </c>
      <c r="B107" s="16" t="inlineStr">
        <is>
          <t>Taurus Mid Cap Fund-Reg(G)</t>
        </is>
      </c>
      <c r="C107" s="16" t="inlineStr">
        <is>
          <t>Taurus Asset Management Company Limited</t>
        </is>
      </c>
      <c r="D107" s="14" t="inlineStr">
        <is>
          <t>Mid Cap</t>
        </is>
      </c>
      <c r="E107" s="16" t="inlineStr">
        <is>
          <t>Nifty Midcap 150 - TRI</t>
        </is>
      </c>
      <c r="F107" s="14" t="n">
        <v>123</v>
      </c>
      <c r="G107" s="14" t="n">
        <v>31.6</v>
      </c>
      <c r="H107" s="14" t="n">
        <v>14.51</v>
      </c>
      <c r="I107" s="14" t="n">
        <v>12.07</v>
      </c>
      <c r="J107" s="14" t="n">
        <v>2.54</v>
      </c>
      <c r="K107" s="23" t="inlineStr">
        <is>
          <t>AUM &lt; 1000 Cr</t>
        </is>
      </c>
      <c r="L107" s="16" t="inlineStr"/>
      <c r="M107" s="14" t="inlineStr">
        <is>
          <t>No</t>
        </is>
      </c>
    </row>
    <row r="108" ht="30" customHeight="1">
      <c r="A108" s="8" t="n">
        <v>104</v>
      </c>
      <c r="B108" s="11" t="inlineStr">
        <is>
          <t>Nippon India Small Cap Fund(G)</t>
        </is>
      </c>
      <c r="C108" s="11" t="inlineStr">
        <is>
          <t>Nippon Life India Asset Management Limited</t>
        </is>
      </c>
      <c r="D108" s="8" t="inlineStr">
        <is>
          <t>Small Cap</t>
        </is>
      </c>
      <c r="E108" s="11" t="inlineStr">
        <is>
          <t>Nifty Smallcap 250 - TRI</t>
        </is>
      </c>
      <c r="F108" s="8" t="n">
        <v>67642</v>
      </c>
      <c r="G108" s="8" t="n">
        <v>15.5</v>
      </c>
      <c r="H108" s="8" t="n">
        <v>19.09</v>
      </c>
      <c r="I108" s="8" t="n">
        <v>20.97</v>
      </c>
      <c r="J108" s="8" t="n">
        <v>1.4</v>
      </c>
      <c r="K108" s="23" t="inlineStr">
        <is>
          <t>AUM &gt; 15000 Cr</t>
        </is>
      </c>
      <c r="L108" s="11" t="inlineStr"/>
      <c r="M108" s="8" t="inlineStr">
        <is>
          <t>No</t>
        </is>
      </c>
    </row>
    <row r="109" ht="30" customHeight="1">
      <c r="A109" s="14" t="n">
        <v>105</v>
      </c>
      <c r="B109" s="16" t="inlineStr">
        <is>
          <t>HDFC Small Cap Fund-Reg(G)</t>
        </is>
      </c>
      <c r="C109" s="16" t="inlineStr">
        <is>
          <t>HDFC Asset Management Company Limited</t>
        </is>
      </c>
      <c r="D109" s="14" t="inlineStr">
        <is>
          <t>Small Cap</t>
        </is>
      </c>
      <c r="E109" s="16" t="inlineStr">
        <is>
          <t>BSE 250 Small Cap - TRI</t>
        </is>
      </c>
      <c r="F109" s="14" t="n">
        <v>37424</v>
      </c>
      <c r="G109" s="14" t="n">
        <v>18</v>
      </c>
      <c r="H109" s="14" t="n">
        <v>15.9</v>
      </c>
      <c r="I109" s="14" t="n">
        <v>18.58</v>
      </c>
      <c r="J109" s="14" t="n">
        <v>1.55</v>
      </c>
      <c r="K109" s="23" t="inlineStr">
        <is>
          <t>AUM &gt; 15000 Cr</t>
        </is>
      </c>
      <c r="L109" s="16" t="inlineStr"/>
      <c r="M109" s="14" t="inlineStr">
        <is>
          <t>No</t>
        </is>
      </c>
    </row>
    <row r="110" ht="30" customHeight="1">
      <c r="A110" s="8" t="n">
        <v>106</v>
      </c>
      <c r="B110" s="11" t="inlineStr">
        <is>
          <t>SBI Small Cap Fund-Reg(G)</t>
        </is>
      </c>
      <c r="C110" s="11" t="inlineStr">
        <is>
          <t>SBI Funds Management Limited</t>
        </is>
      </c>
      <c r="D110" s="8" t="inlineStr">
        <is>
          <t>Small Cap</t>
        </is>
      </c>
      <c r="E110" s="11" t="inlineStr">
        <is>
          <t>BSE 250 Small Cap - TRI</t>
        </is>
      </c>
      <c r="F110" s="8" t="n">
        <v>34932</v>
      </c>
      <c r="G110" s="8" t="n">
        <v>16.6</v>
      </c>
      <c r="H110" s="8" t="n">
        <v>12.01</v>
      </c>
      <c r="I110" s="8" t="n">
        <v>13.94</v>
      </c>
      <c r="J110" s="8" t="n">
        <v>1.57</v>
      </c>
      <c r="K110" s="23" t="inlineStr">
        <is>
          <t>AUM &gt; 15000 Cr</t>
        </is>
      </c>
      <c r="L110" s="11" t="inlineStr"/>
      <c r="M110" s="8" t="inlineStr">
        <is>
          <t>No</t>
        </is>
      </c>
    </row>
    <row r="111" ht="30" customHeight="1">
      <c r="A111" s="14" t="n">
        <v>107</v>
      </c>
      <c r="B111" s="16" t="inlineStr">
        <is>
          <t>Quant Small Cap Fund(G)</t>
        </is>
      </c>
      <c r="C111" s="16" t="inlineStr">
        <is>
          <t>Quant Money Managers Limited</t>
        </is>
      </c>
      <c r="D111" s="14" t="inlineStr">
        <is>
          <t>Small Cap</t>
        </is>
      </c>
      <c r="E111" s="16" t="inlineStr">
        <is>
          <t>Nifty Smallcap 250 - TRI</t>
        </is>
      </c>
      <c r="F111" s="14" t="n">
        <v>27654</v>
      </c>
      <c r="G111" s="14" t="n">
        <v>29.5</v>
      </c>
      <c r="H111" s="14" t="n">
        <v>18.51</v>
      </c>
      <c r="I111" s="14" t="n">
        <v>22.38</v>
      </c>
      <c r="J111" s="14" t="n">
        <v>1.64</v>
      </c>
      <c r="K111" s="23" t="inlineStr">
        <is>
          <t>AUM &gt; 15000 Cr</t>
        </is>
      </c>
      <c r="L111" s="16" t="inlineStr"/>
      <c r="M111" s="14" t="inlineStr">
        <is>
          <t>No</t>
        </is>
      </c>
    </row>
    <row r="112" ht="30" customHeight="1">
      <c r="A112" s="8" t="n">
        <v>108</v>
      </c>
      <c r="B112" s="11" t="inlineStr">
        <is>
          <t>Axis Small Cap Fund-Reg(G)</t>
        </is>
      </c>
      <c r="C112" s="11" t="inlineStr">
        <is>
          <t>Axis Asset Management Company Ltd.</t>
        </is>
      </c>
      <c r="D112" s="8" t="inlineStr">
        <is>
          <t>Small Cap</t>
        </is>
      </c>
      <c r="E112" s="11" t="inlineStr">
        <is>
          <t>Nifty Smallcap 250 - TRI</t>
        </is>
      </c>
      <c r="F112" s="8" t="n">
        <v>26008</v>
      </c>
      <c r="G112" s="8" t="n">
        <v>12.3</v>
      </c>
      <c r="H112" s="8" t="n">
        <v>16.39</v>
      </c>
      <c r="I112" s="8" t="n">
        <v>17.23</v>
      </c>
      <c r="J112" s="8" t="n">
        <v>1.61</v>
      </c>
      <c r="K112" s="23" t="inlineStr">
        <is>
          <t>AUM &gt; 15000 Cr</t>
        </is>
      </c>
      <c r="L112" s="11" t="inlineStr"/>
      <c r="M112" s="8" t="inlineStr">
        <is>
          <t>No</t>
        </is>
      </c>
    </row>
    <row r="113" ht="30" customHeight="1">
      <c r="A113" s="14" t="n">
        <v>109</v>
      </c>
      <c r="B113" s="16" t="inlineStr">
        <is>
          <t>Bandhan Small Cap Fund-Reg(G)</t>
        </is>
      </c>
      <c r="C113" s="16" t="inlineStr">
        <is>
          <t>Bandhan AMC Limited</t>
        </is>
      </c>
      <c r="D113" s="14" t="inlineStr">
        <is>
          <t>Small Cap</t>
        </is>
      </c>
      <c r="E113" s="16" t="inlineStr">
        <is>
          <t>BSE 250 Small Cap - TRI</t>
        </is>
      </c>
      <c r="F113" s="14" t="n">
        <v>20474</v>
      </c>
      <c r="G113" s="14" t="n">
        <v>6.1</v>
      </c>
      <c r="H113" s="14" t="n">
        <v>27.97</v>
      </c>
      <c r="I113" s="14" t="n">
        <v>21.28</v>
      </c>
      <c r="J113" s="14" t="n">
        <v>1.62</v>
      </c>
      <c r="K113" s="23" t="inlineStr">
        <is>
          <t>AUM &gt; 15000 Cr</t>
        </is>
      </c>
      <c r="L113" s="16" t="inlineStr"/>
      <c r="M113" s="14" t="inlineStr">
        <is>
          <t>No</t>
        </is>
      </c>
    </row>
    <row r="114" ht="30" customHeight="1">
      <c r="A114" s="8" t="n">
        <v>110</v>
      </c>
      <c r="B114" s="11" t="inlineStr">
        <is>
          <t>DSP Small Cap Fund-Reg(G)</t>
        </is>
      </c>
      <c r="C114" s="11" t="inlineStr">
        <is>
          <t>DSP Investment Managers Private Limited</t>
        </is>
      </c>
      <c r="D114" s="8" t="inlineStr">
        <is>
          <t>Small Cap</t>
        </is>
      </c>
      <c r="E114" s="11" t="inlineStr">
        <is>
          <t>BSE 250 Small Cap - TRI</t>
        </is>
      </c>
      <c r="F114" s="8" t="n">
        <v>16886</v>
      </c>
      <c r="G114" s="8" t="n">
        <v>18.8</v>
      </c>
      <c r="H114" s="8" t="n">
        <v>18.77</v>
      </c>
      <c r="I114" s="8" t="n">
        <v>18.1</v>
      </c>
      <c r="J114" s="8" t="n">
        <v>1.7</v>
      </c>
      <c r="K114" s="23" t="inlineStr">
        <is>
          <t>AUM &gt; 15000 Cr</t>
        </is>
      </c>
      <c r="L114" s="11" t="inlineStr"/>
      <c r="M114" s="8" t="inlineStr">
        <is>
          <t>No</t>
        </is>
      </c>
    </row>
    <row r="115" ht="30" customHeight="1">
      <c r="A115" s="14" t="n">
        <v>111</v>
      </c>
      <c r="B115" s="16" t="inlineStr">
        <is>
          <t>Kotak Small Cap Fund(G)</t>
        </is>
      </c>
      <c r="C115" s="16" t="inlineStr">
        <is>
          <t>Kotak Mahindra Asset Management Company Limited</t>
        </is>
      </c>
      <c r="D115" s="14" t="inlineStr">
        <is>
          <t>Small Cap</t>
        </is>
      </c>
      <c r="E115" s="16" t="inlineStr">
        <is>
          <t>Nifty Smallcap 250 - TRI</t>
        </is>
      </c>
      <c r="F115" s="14" t="n">
        <v>16871</v>
      </c>
      <c r="G115" s="14" t="n">
        <v>21.1</v>
      </c>
      <c r="H115" s="14" t="n">
        <v>12.97</v>
      </c>
      <c r="I115" s="14" t="n">
        <v>13.7</v>
      </c>
      <c r="J115" s="14" t="n">
        <v>1.66</v>
      </c>
      <c r="K115" s="23" t="inlineStr">
        <is>
          <t>AUM &gt; 15000 Cr</t>
        </is>
      </c>
      <c r="L115" s="16" t="inlineStr"/>
      <c r="M115" s="14" t="inlineStr">
        <is>
          <t>No</t>
        </is>
      </c>
    </row>
    <row r="116" ht="30" customHeight="1">
      <c r="A116" s="8" t="n">
        <v>112</v>
      </c>
      <c r="B116" s="11" t="inlineStr">
        <is>
          <t>HSBC Small Cap Fund-Reg(G)</t>
        </is>
      </c>
      <c r="C116" s="11" t="inlineStr">
        <is>
          <t>HSBC Global Asset Management (India) Private Limited</t>
        </is>
      </c>
      <c r="D116" s="8" t="inlineStr">
        <is>
          <t>Small Cap</t>
        </is>
      </c>
      <c r="E116" s="11" t="inlineStr">
        <is>
          <t>Nifty Smallcap 250 - TRI</t>
        </is>
      </c>
      <c r="F116" s="8" t="n">
        <v>15375</v>
      </c>
      <c r="G116" s="8" t="n">
        <v>11.9</v>
      </c>
      <c r="H116" s="8" t="n">
        <v>15.07</v>
      </c>
      <c r="I116" s="8" t="n">
        <v>18.69</v>
      </c>
      <c r="J116" s="8" t="n">
        <v>1.7</v>
      </c>
      <c r="K116" s="23" t="inlineStr">
        <is>
          <t>AUM &gt; 15000 Cr</t>
        </is>
      </c>
      <c r="L116" s="11" t="inlineStr"/>
      <c r="M116" s="8" t="inlineStr">
        <is>
          <t>No</t>
        </is>
      </c>
    </row>
    <row r="117" ht="30" customHeight="1">
      <c r="A117" s="14" t="n">
        <v>113</v>
      </c>
      <c r="B117" s="16" t="inlineStr">
        <is>
          <t>Franklin India Small Cap Fund(G)</t>
        </is>
      </c>
      <c r="C117" s="16" t="inlineStr">
        <is>
          <t>Franklin Templeton Asset Management (India) Private Limited</t>
        </is>
      </c>
      <c r="D117" s="14" t="inlineStr">
        <is>
          <t>Small Cap</t>
        </is>
      </c>
      <c r="E117" s="16" t="inlineStr">
        <is>
          <t>Nifty Smallcap 250 - TRI</t>
        </is>
      </c>
      <c r="F117" s="14" t="n">
        <v>12934</v>
      </c>
      <c r="G117" s="14" t="n">
        <v>20.2</v>
      </c>
      <c r="H117" s="14" t="n">
        <v>16.51</v>
      </c>
      <c r="I117" s="14" t="n">
        <v>17.55</v>
      </c>
      <c r="J117" s="14" t="n">
        <v>1.75</v>
      </c>
      <c r="K117" s="23" t="inlineStr">
        <is>
          <t>PASS</t>
        </is>
      </c>
      <c r="L117" s="16" t="inlineStr"/>
      <c r="M117" s="14" t="inlineStr">
        <is>
          <t>Yes</t>
        </is>
      </c>
    </row>
    <row r="118" ht="30" customHeight="1">
      <c r="A118" s="8" t="n">
        <v>114</v>
      </c>
      <c r="B118" s="11" t="inlineStr">
        <is>
          <t>Canara Rob Small Cap Fund-Reg(G)</t>
        </is>
      </c>
      <c r="C118" s="11" t="inlineStr">
        <is>
          <t>Canara Robeco Asset Management Company Limited</t>
        </is>
      </c>
      <c r="D118" s="8" t="inlineStr">
        <is>
          <t>Small Cap</t>
        </is>
      </c>
      <c r="E118" s="11" t="inlineStr">
        <is>
          <t>Nifty Smallcap 250 - TRI</t>
        </is>
      </c>
      <c r="F118" s="8" t="n">
        <v>12769</v>
      </c>
      <c r="G118" s="8" t="n">
        <v>7.1</v>
      </c>
      <c r="H118" s="8" t="n">
        <v>14.17</v>
      </c>
      <c r="I118" s="8" t="n">
        <v>17.65</v>
      </c>
      <c r="J118" s="8" t="n">
        <v>1.7</v>
      </c>
      <c r="K118" s="23" t="inlineStr">
        <is>
          <t>PASS</t>
        </is>
      </c>
      <c r="L118" s="11" t="inlineStr"/>
      <c r="M118" s="8" t="inlineStr">
        <is>
          <t>Yes</t>
        </is>
      </c>
    </row>
    <row r="119" ht="30" customHeight="1">
      <c r="A119" s="14" t="n">
        <v>115</v>
      </c>
      <c r="B119" s="16" t="inlineStr">
        <is>
          <t>Tata Small Cap Fund-Reg(G)</t>
        </is>
      </c>
      <c r="C119" s="16" t="inlineStr">
        <is>
          <t>Tata Asset Management Private Limited</t>
        </is>
      </c>
      <c r="D119" s="14" t="inlineStr">
        <is>
          <t>Small Cap</t>
        </is>
      </c>
      <c r="E119" s="16" t="inlineStr">
        <is>
          <t>Nifty Smallcap 250 - TRI</t>
        </is>
      </c>
      <c r="F119" s="14" t="n">
        <v>10715</v>
      </c>
      <c r="G119" s="14" t="n">
        <v>7.4</v>
      </c>
      <c r="H119" s="14" t="n">
        <v>10.73</v>
      </c>
      <c r="I119" s="14" t="n">
        <v>15.79</v>
      </c>
      <c r="J119" s="14" t="n">
        <v>1.69</v>
      </c>
      <c r="K119" s="23" t="inlineStr">
        <is>
          <t>PASS</t>
        </is>
      </c>
      <c r="L119" s="16" t="inlineStr"/>
      <c r="M119" s="14" t="inlineStr">
        <is>
          <t>Yes</t>
        </is>
      </c>
    </row>
    <row r="120" ht="30" customHeight="1">
      <c r="A120" s="8" t="n">
        <v>116</v>
      </c>
      <c r="B120" s="11" t="inlineStr">
        <is>
          <t>Invesco India Smallcap Fund-Reg(G)</t>
        </is>
      </c>
      <c r="C120" s="11" t="inlineStr">
        <is>
          <t>Invesco Asset Management Company Pvt Ltd.</t>
        </is>
      </c>
      <c r="D120" s="8" t="inlineStr">
        <is>
          <t>Small Cap</t>
        </is>
      </c>
      <c r="E120" s="11" t="inlineStr">
        <is>
          <t>BSE 250 Small Cap - TRI</t>
        </is>
      </c>
      <c r="F120" s="8" t="n">
        <v>9716</v>
      </c>
      <c r="G120" s="8" t="n">
        <v>7.4</v>
      </c>
      <c r="H120" s="8" t="n">
        <v>22.38</v>
      </c>
      <c r="I120" s="8" t="n">
        <v>20.02</v>
      </c>
      <c r="J120" s="8" t="n">
        <v>1.7</v>
      </c>
      <c r="K120" s="23" t="inlineStr">
        <is>
          <t>PASS</t>
        </is>
      </c>
      <c r="L120" s="11" t="inlineStr"/>
      <c r="M120" s="8" t="inlineStr">
        <is>
          <t>Yes</t>
        </is>
      </c>
    </row>
    <row r="121" ht="30" customHeight="1">
      <c r="A121" s="14" t="n">
        <v>117</v>
      </c>
      <c r="B121" s="16" t="inlineStr">
        <is>
          <t>ICICI Pru Smallcap Fund(G)</t>
        </is>
      </c>
      <c r="C121" s="16" t="inlineStr">
        <is>
          <t>ICICI Prudential Asset Management Company Limited</t>
        </is>
      </c>
      <c r="D121" s="14" t="inlineStr">
        <is>
          <t>Small Cap</t>
        </is>
      </c>
      <c r="E121" s="16" t="inlineStr">
        <is>
          <t>Nifty Smallcap 250 - TRI</t>
        </is>
      </c>
      <c r="F121" s="14" t="n">
        <v>8355</v>
      </c>
      <c r="G121" s="14" t="n">
        <v>18.5</v>
      </c>
      <c r="H121" s="14" t="n">
        <v>13.79</v>
      </c>
      <c r="I121" s="14" t="n">
        <v>16.06</v>
      </c>
      <c r="J121" s="14" t="n">
        <v>1.8</v>
      </c>
      <c r="K121" s="23" t="inlineStr">
        <is>
          <t>PASS</t>
        </is>
      </c>
      <c r="L121" s="16" t="inlineStr"/>
      <c r="M121" s="14" t="inlineStr">
        <is>
          <t>Yes</t>
        </is>
      </c>
    </row>
    <row r="122" ht="30" customHeight="1">
      <c r="A122" s="8" t="n">
        <v>118</v>
      </c>
      <c r="B122" s="11" t="inlineStr">
        <is>
          <t>Motilal Oswal Small Cap Fund-Reg(G)</t>
        </is>
      </c>
      <c r="C122" s="11" t="inlineStr">
        <is>
          <t>Motilal Oswal Asset Management Company Limited</t>
        </is>
      </c>
      <c r="D122" s="8" t="inlineStr">
        <is>
          <t>Small Cap</t>
        </is>
      </c>
      <c r="E122" s="11" t="inlineStr">
        <is>
          <t>Nifty Smallcap 250 - TRI</t>
        </is>
      </c>
      <c r="F122" s="8" t="n">
        <v>5655</v>
      </c>
      <c r="G122" s="8" t="n">
        <v>2.3</v>
      </c>
      <c r="H122" s="8" t="inlineStr"/>
      <c r="I122" s="8" t="inlineStr"/>
      <c r="J122" s="8" t="n">
        <v>1.84</v>
      </c>
      <c r="K122" s="23" t="inlineStr">
        <is>
          <t>Track record &lt; 3.0Y; No 3Y return data</t>
        </is>
      </c>
      <c r="L122" s="11" t="inlineStr"/>
      <c r="M122" s="8" t="inlineStr">
        <is>
          <t>No</t>
        </is>
      </c>
    </row>
    <row r="123" ht="30" customHeight="1">
      <c r="A123" s="14" t="n">
        <v>119</v>
      </c>
      <c r="B123" s="16" t="inlineStr">
        <is>
          <t>Edelweiss Small Cap Fund-Reg(G)</t>
        </is>
      </c>
      <c r="C123" s="16" t="inlineStr">
        <is>
          <t>Edelweiss Asset Management Limited</t>
        </is>
      </c>
      <c r="D123" s="14" t="inlineStr">
        <is>
          <t>Small Cap</t>
        </is>
      </c>
      <c r="E123" s="16" t="inlineStr">
        <is>
          <t>Nifty Smallcap 250 - TRI</t>
        </is>
      </c>
      <c r="F123" s="14" t="n">
        <v>5481</v>
      </c>
      <c r="G123" s="14" t="n">
        <v>7.1</v>
      </c>
      <c r="H123" s="14" t="n">
        <v>17.94</v>
      </c>
      <c r="I123" s="14" t="n">
        <v>17.64</v>
      </c>
      <c r="J123" s="14" t="n">
        <v>1.81</v>
      </c>
      <c r="K123" s="23" t="inlineStr">
        <is>
          <t>PASS</t>
        </is>
      </c>
      <c r="L123" s="16" t="inlineStr"/>
      <c r="M123" s="14" t="inlineStr">
        <is>
          <t>Yes</t>
        </is>
      </c>
    </row>
    <row r="124" ht="30" customHeight="1">
      <c r="A124" s="8" t="n">
        <v>120</v>
      </c>
      <c r="B124" s="11" t="inlineStr">
        <is>
          <t>Aditya Birla SL Small Cap Fund(G)</t>
        </is>
      </c>
      <c r="C124" s="11" t="inlineStr">
        <is>
          <t>Aditya Birla Sun Life AMC Limited</t>
        </is>
      </c>
      <c r="D124" s="8" t="inlineStr">
        <is>
          <t>Small Cap</t>
        </is>
      </c>
      <c r="E124" s="11" t="inlineStr">
        <is>
          <t>BSE 250 Small Cap - TRI</t>
        </is>
      </c>
      <c r="F124" s="8" t="n">
        <v>4882</v>
      </c>
      <c r="G124" s="8" t="n">
        <v>18.8</v>
      </c>
      <c r="H124" s="8" t="n">
        <v>17.25</v>
      </c>
      <c r="I124" s="8" t="n">
        <v>13.21</v>
      </c>
      <c r="J124" s="8" t="n">
        <v>1.9</v>
      </c>
      <c r="K124" s="23" t="inlineStr">
        <is>
          <t>PASS</t>
        </is>
      </c>
      <c r="L124" s="11" t="inlineStr"/>
      <c r="M124" s="8" t="inlineStr">
        <is>
          <t>Yes</t>
        </is>
      </c>
    </row>
    <row r="125" ht="30" customHeight="1">
      <c r="A125" s="14" t="n">
        <v>121</v>
      </c>
      <c r="B125" s="16" t="inlineStr">
        <is>
          <t>UTI Small Cap Fund-Reg(G)</t>
        </is>
      </c>
      <c r="C125" s="16" t="inlineStr">
        <is>
          <t>UTI Asset Management Company Private Limited</t>
        </is>
      </c>
      <c r="D125" s="14" t="inlineStr">
        <is>
          <t>Small Cap</t>
        </is>
      </c>
      <c r="E125" s="16" t="inlineStr">
        <is>
          <t>Nifty Smallcap 250 - TRI</t>
        </is>
      </c>
      <c r="F125" s="14" t="n">
        <v>4547</v>
      </c>
      <c r="G125" s="14" t="n">
        <v>5.3</v>
      </c>
      <c r="H125" s="14" t="n">
        <v>15.81</v>
      </c>
      <c r="I125" s="14" t="n">
        <v>15.68</v>
      </c>
      <c r="J125" s="14" t="n">
        <v>1.86</v>
      </c>
      <c r="K125" s="23" t="inlineStr">
        <is>
          <t>PASS</t>
        </is>
      </c>
      <c r="L125" s="16" t="inlineStr"/>
      <c r="M125" s="14" t="inlineStr">
        <is>
          <t>Yes</t>
        </is>
      </c>
    </row>
    <row r="126" ht="30" customHeight="1">
      <c r="A126" s="8" t="n">
        <v>122</v>
      </c>
      <c r="B126" s="11" t="inlineStr">
        <is>
          <t>Mahindra Manulife Small Cap Fund-Reg(G)</t>
        </is>
      </c>
      <c r="C126" s="11" t="inlineStr">
        <is>
          <t>Mahindra Manulife Investment Management Private Limited</t>
        </is>
      </c>
      <c r="D126" s="8" t="inlineStr">
        <is>
          <t>Small Cap</t>
        </is>
      </c>
      <c r="E126" s="11" t="inlineStr">
        <is>
          <t>BSE 250 Small Cap - TRI</t>
        </is>
      </c>
      <c r="F126" s="8" t="n">
        <v>4076</v>
      </c>
      <c r="G126" s="8" t="n">
        <v>3.3</v>
      </c>
      <c r="H126" s="8" t="n">
        <v>22.04</v>
      </c>
      <c r="I126" s="8" t="inlineStr"/>
      <c r="J126" s="8" t="n">
        <v>1.87</v>
      </c>
      <c r="K126" s="23" t="inlineStr">
        <is>
          <t>PASS</t>
        </is>
      </c>
      <c r="L126" s="11" t="inlineStr"/>
      <c r="M126" s="8" t="inlineStr">
        <is>
          <t>Yes</t>
        </is>
      </c>
    </row>
    <row r="127" ht="30" customHeight="1">
      <c r="A127" s="14" t="n">
        <v>123</v>
      </c>
      <c r="B127" s="16" t="inlineStr">
        <is>
          <t>Mirae Asset Small Cap Fund-Reg(G)</t>
        </is>
      </c>
      <c r="C127" s="16" t="inlineStr">
        <is>
          <t>Mirae Asset Investment Managers (India) Private Limited</t>
        </is>
      </c>
      <c r="D127" s="14" t="inlineStr">
        <is>
          <t>Small Cap</t>
        </is>
      </c>
      <c r="E127" s="16" t="inlineStr">
        <is>
          <t>Nifty Smallcap 250 - TRI</t>
        </is>
      </c>
      <c r="F127" s="14" t="n">
        <v>3323</v>
      </c>
      <c r="G127" s="14" t="n">
        <v>1.2</v>
      </c>
      <c r="H127" s="14" t="inlineStr"/>
      <c r="I127" s="14" t="inlineStr"/>
      <c r="J127" s="14" t="n">
        <v>1.86</v>
      </c>
      <c r="K127" s="23" t="inlineStr">
        <is>
          <t>Track record &lt; 3.0Y; No 3Y return data</t>
        </is>
      </c>
      <c r="L127" s="16" t="inlineStr"/>
      <c r="M127" s="14" t="inlineStr">
        <is>
          <t>No</t>
        </is>
      </c>
    </row>
    <row r="128" ht="30" customHeight="1">
      <c r="A128" s="8" t="n">
        <v>124</v>
      </c>
      <c r="B128" s="11" t="inlineStr">
        <is>
          <t>Sundaram Small Cap Fund(G)</t>
        </is>
      </c>
      <c r="C128" s="11" t="inlineStr">
        <is>
          <t>Sundaram Asset Management Company Limited</t>
        </is>
      </c>
      <c r="D128" s="8" t="inlineStr">
        <is>
          <t>Small Cap</t>
        </is>
      </c>
      <c r="E128" s="11" t="inlineStr">
        <is>
          <t>Nifty Smallcap 250 - TRI</t>
        </is>
      </c>
      <c r="F128" s="8" t="n">
        <v>3306</v>
      </c>
      <c r="G128" s="8" t="n">
        <v>21.1</v>
      </c>
      <c r="H128" s="8" t="n">
        <v>17.35</v>
      </c>
      <c r="I128" s="8" t="n">
        <v>17.17</v>
      </c>
      <c r="J128" s="8" t="n">
        <v>1.94</v>
      </c>
      <c r="K128" s="23" t="inlineStr">
        <is>
          <t>PASS</t>
        </is>
      </c>
      <c r="L128" s="11" t="inlineStr"/>
      <c r="M128" s="8" t="inlineStr">
        <is>
          <t>Yes</t>
        </is>
      </c>
    </row>
    <row r="129" ht="30" customHeight="1">
      <c r="A129" s="14" t="n">
        <v>125</v>
      </c>
      <c r="B129" s="16" t="inlineStr">
        <is>
          <t>ITI Small Cap Fund-Reg(G)</t>
        </is>
      </c>
      <c r="C129" s="16" t="inlineStr">
        <is>
          <t>ITI Asset Management Limited</t>
        </is>
      </c>
      <c r="D129" s="14" t="inlineStr">
        <is>
          <t>Small Cap</t>
        </is>
      </c>
      <c r="E129" s="16" t="inlineStr">
        <is>
          <t>Nifty Smallcap 250 - TRI</t>
        </is>
      </c>
      <c r="F129" s="14" t="n">
        <v>2712</v>
      </c>
      <c r="G129" s="14" t="n">
        <v>6.1</v>
      </c>
      <c r="H129" s="14" t="n">
        <v>22.71</v>
      </c>
      <c r="I129" s="14" t="n">
        <v>15.56</v>
      </c>
      <c r="J129" s="14" t="n">
        <v>1.86</v>
      </c>
      <c r="K129" s="23" t="inlineStr">
        <is>
          <t>PASS</t>
        </is>
      </c>
      <c r="L129" s="16" t="inlineStr"/>
      <c r="M129" s="14" t="inlineStr">
        <is>
          <t>Yes</t>
        </is>
      </c>
    </row>
    <row r="130" ht="30" customHeight="1">
      <c r="A130" s="8" t="n">
        <v>126</v>
      </c>
      <c r="B130" s="11" t="inlineStr">
        <is>
          <t>Bank of India Small Cap Fund-Reg(G)</t>
        </is>
      </c>
      <c r="C130" s="11" t="inlineStr">
        <is>
          <t>Bank of India Investment Managers Private Limited</t>
        </is>
      </c>
      <c r="D130" s="8" t="inlineStr">
        <is>
          <t>Small Cap</t>
        </is>
      </c>
      <c r="E130" s="11" t="inlineStr">
        <is>
          <t>Nifty Smallcap 250 - TRI</t>
        </is>
      </c>
      <c r="F130" s="8" t="n">
        <v>1904</v>
      </c>
      <c r="G130" s="8" t="n">
        <v>7.3</v>
      </c>
      <c r="H130" s="8" t="n">
        <v>18.46</v>
      </c>
      <c r="I130" s="8" t="n">
        <v>18.11</v>
      </c>
      <c r="J130" s="8" t="n">
        <v>1.95</v>
      </c>
      <c r="K130" s="23" t="inlineStr">
        <is>
          <t>PASS</t>
        </is>
      </c>
      <c r="L130" s="11" t="inlineStr"/>
      <c r="M130" s="8" t="inlineStr">
        <is>
          <t>Yes</t>
        </is>
      </c>
    </row>
    <row r="131" ht="30" customHeight="1">
      <c r="A131" s="14" t="n">
        <v>127</v>
      </c>
      <c r="B131" s="16" t="inlineStr">
        <is>
          <t>Union Small Cap Fund-Reg(G)</t>
        </is>
      </c>
      <c r="C131" s="16" t="inlineStr">
        <is>
          <t>Union Asset Management Company Pvt. Ltd.</t>
        </is>
      </c>
      <c r="D131" s="14" t="inlineStr">
        <is>
          <t>Small Cap</t>
        </is>
      </c>
      <c r="E131" s="16" t="inlineStr">
        <is>
          <t>BSE 250 Small Cap - TRI</t>
        </is>
      </c>
      <c r="F131" s="14" t="n">
        <v>1787</v>
      </c>
      <c r="G131" s="14" t="n">
        <v>11.8</v>
      </c>
      <c r="H131" s="14" t="n">
        <v>19.19</v>
      </c>
      <c r="I131" s="14" t="n">
        <v>17.45</v>
      </c>
      <c r="J131" s="14" t="n">
        <v>2.1</v>
      </c>
      <c r="K131" s="23" t="inlineStr">
        <is>
          <t>PASS</t>
        </is>
      </c>
      <c r="L131" s="16" t="inlineStr"/>
      <c r="M131" s="14" t="inlineStr">
        <is>
          <t>Yes</t>
        </is>
      </c>
    </row>
    <row r="132" ht="30" customHeight="1">
      <c r="A132" s="8" t="n">
        <v>128</v>
      </c>
      <c r="B132" s="11" t="inlineStr">
        <is>
          <t>PGIM India Small Cap Fund-Reg(G)</t>
        </is>
      </c>
      <c r="C132" s="11" t="inlineStr">
        <is>
          <t>PGIM India Asset Management Private Limited</t>
        </is>
      </c>
      <c r="D132" s="8" t="inlineStr">
        <is>
          <t>Small Cap</t>
        </is>
      </c>
      <c r="E132" s="11" t="inlineStr">
        <is>
          <t>Nifty Smallcap 250 - TRI</t>
        </is>
      </c>
      <c r="F132" s="8" t="n">
        <v>1489</v>
      </c>
      <c r="G132" s="8" t="n">
        <v>4.7</v>
      </c>
      <c r="H132" s="8" t="n">
        <v>13.16</v>
      </c>
      <c r="I132" s="8" t="inlineStr"/>
      <c r="J132" s="8" t="n">
        <v>2.08</v>
      </c>
      <c r="K132" s="23" t="inlineStr">
        <is>
          <t>PASS</t>
        </is>
      </c>
      <c r="L132" s="11" t="inlineStr"/>
      <c r="M132" s="8" t="inlineStr">
        <is>
          <t>Yes</t>
        </is>
      </c>
    </row>
    <row r="133" ht="30" customHeight="1">
      <c r="A133" s="14" t="n">
        <v>129</v>
      </c>
      <c r="B133" s="16" t="inlineStr">
        <is>
          <t>TRUSTMF Small Cap Fund-Reg(G)</t>
        </is>
      </c>
      <c r="C133" s="16" t="inlineStr">
        <is>
          <t>Trust Asset Management Private Limited</t>
        </is>
      </c>
      <c r="D133" s="14" t="inlineStr">
        <is>
          <t>Small Cap</t>
        </is>
      </c>
      <c r="E133" s="16" t="inlineStr">
        <is>
          <t>Nifty Smallcap 250 - TRI</t>
        </is>
      </c>
      <c r="F133" s="14" t="n">
        <v>1385</v>
      </c>
      <c r="G133" s="14" t="n">
        <v>1.4</v>
      </c>
      <c r="H133" s="14" t="inlineStr"/>
      <c r="I133" s="14" t="inlineStr"/>
      <c r="J133" s="14" t="n">
        <v>2.08</v>
      </c>
      <c r="K133" s="23" t="inlineStr">
        <is>
          <t>Track record &lt; 3.0Y; No 3Y return data</t>
        </is>
      </c>
      <c r="L133" s="16" t="inlineStr"/>
      <c r="M133" s="14" t="inlineStr">
        <is>
          <t>No</t>
        </is>
      </c>
    </row>
    <row r="134" ht="30" customHeight="1">
      <c r="A134" s="8" t="n">
        <v>130</v>
      </c>
      <c r="B134" s="11" t="inlineStr">
        <is>
          <t>Baroda BNP Paribas Small Cap Fund-Reg(G)</t>
        </is>
      </c>
      <c r="C134" s="11" t="inlineStr">
        <is>
          <t>Baroda BNP Paribas Asset Management India Pvt. Ltd.</t>
        </is>
      </c>
      <c r="D134" s="8" t="inlineStr">
        <is>
          <t>Small Cap</t>
        </is>
      </c>
      <c r="E134" s="11" t="inlineStr">
        <is>
          <t>Nifty Smallcap 250 - TRI</t>
        </is>
      </c>
      <c r="F134" s="8" t="n">
        <v>1153</v>
      </c>
      <c r="G134" s="8" t="n">
        <v>2.4</v>
      </c>
      <c r="H134" s="8" t="inlineStr"/>
      <c r="I134" s="8" t="inlineStr"/>
      <c r="J134" s="8" t="n">
        <v>2.18</v>
      </c>
      <c r="K134" s="23" t="inlineStr">
        <is>
          <t>Track record &lt; 3.0Y; No 3Y return data</t>
        </is>
      </c>
      <c r="L134" s="11" t="inlineStr"/>
      <c r="M134" s="8" t="inlineStr">
        <is>
          <t>No</t>
        </is>
      </c>
    </row>
    <row r="135" ht="30" customHeight="1">
      <c r="A135" s="14" t="n">
        <v>131</v>
      </c>
      <c r="B135" s="16" t="inlineStr">
        <is>
          <t>JM Small Cap Fund-Reg(G)</t>
        </is>
      </c>
      <c r="C135" s="16" t="inlineStr">
        <is>
          <t>JM Financial Asset Management Private Limited</t>
        </is>
      </c>
      <c r="D135" s="14" t="inlineStr">
        <is>
          <t>Small Cap</t>
        </is>
      </c>
      <c r="E135" s="16" t="inlineStr">
        <is>
          <t>Nifty Smallcap 250 - TRI</t>
        </is>
      </c>
      <c r="F135" s="14" t="n">
        <v>646</v>
      </c>
      <c r="G135" s="14" t="n">
        <v>1.8</v>
      </c>
      <c r="H135" s="14" t="inlineStr"/>
      <c r="I135" s="14" t="inlineStr"/>
      <c r="J135" s="14" t="n">
        <v>2.34</v>
      </c>
      <c r="K135" s="23" t="inlineStr">
        <is>
          <t>Track record &lt; 3.0Y; No 3Y return data</t>
        </is>
      </c>
      <c r="L135" s="16" t="inlineStr"/>
      <c r="M135" s="14" t="inlineStr">
        <is>
          <t>No</t>
        </is>
      </c>
    </row>
    <row r="136" ht="30" customHeight="1">
      <c r="A136" s="8" t="n">
        <v>132</v>
      </c>
      <c r="B136" s="11" t="inlineStr">
        <is>
          <t>LIC MF Small Cap Fund-Reg(G)</t>
        </is>
      </c>
      <c r="C136" s="11" t="inlineStr">
        <is>
          <t>LIC Mutual Fund Asset Management Limited</t>
        </is>
      </c>
      <c r="D136" s="8" t="inlineStr">
        <is>
          <t>Small Cap</t>
        </is>
      </c>
      <c r="E136" s="11" t="inlineStr">
        <is>
          <t>Nifty Smallcap 250 - TRI</t>
        </is>
      </c>
      <c r="F136" s="8" t="n">
        <v>606</v>
      </c>
      <c r="G136" s="8" t="n">
        <v>8.800000000000001</v>
      </c>
      <c r="H136" s="8" t="n">
        <v>15.6</v>
      </c>
      <c r="I136" s="8" t="n">
        <v>16.88</v>
      </c>
      <c r="J136" s="8" t="n">
        <v>2.39</v>
      </c>
      <c r="K136" s="23" t="inlineStr">
        <is>
          <t>PASS</t>
        </is>
      </c>
      <c r="L136" s="11" t="inlineStr"/>
      <c r="M136" s="8" t="inlineStr">
        <is>
          <t>Yes</t>
        </is>
      </c>
    </row>
    <row r="137" ht="30" customHeight="1">
      <c r="A137" s="14" t="n">
        <v>133</v>
      </c>
      <c r="B137" s="16" t="inlineStr">
        <is>
          <t>Quantum Small Cap Fund-Reg(G)</t>
        </is>
      </c>
      <c r="C137" s="16" t="inlineStr">
        <is>
          <t>Quantum Asset Management Company Private Limited</t>
        </is>
      </c>
      <c r="D137" s="14" t="inlineStr">
        <is>
          <t>Small Cap</t>
        </is>
      </c>
      <c r="E137" s="16" t="inlineStr">
        <is>
          <t>BSE 250 Small Cap - TRI</t>
        </is>
      </c>
      <c r="F137" s="14" t="n">
        <v>190</v>
      </c>
      <c r="G137" s="14" t="n">
        <v>2.4</v>
      </c>
      <c r="H137" s="14" t="inlineStr"/>
      <c r="I137" s="14" t="inlineStr"/>
      <c r="J137" s="14" t="n">
        <v>2.17</v>
      </c>
      <c r="K137" s="23" t="inlineStr">
        <is>
          <t>AUM &lt; 500 Cr; Track record &lt; 3.0Y; No 3Y return data</t>
        </is>
      </c>
      <c r="L137" s="16" t="inlineStr"/>
      <c r="M137" s="14" t="inlineStr">
        <is>
          <t>No</t>
        </is>
      </c>
    </row>
  </sheetData>
  <autoFilter ref="A4:M137"/>
  <mergeCells count="2">
    <mergeCell ref="A3:M3"/>
    <mergeCell ref="A1:M1"/>
  </mergeCells>
  <pageMargins left="0.75" right="0.75" top="1" bottom="1" header="0.5" footer="0.5"/>
</worksheet>
</file>

<file path=xl/worksheets/sheet5.xml><?xml version="1.0" encoding="utf-8"?>
<worksheet xmlns="http://schemas.openxmlformats.org/spreadsheetml/2006/main">
  <sheetPr>
    <tabColor rgb="00546E7A"/>
    <outlinePr summaryBelow="1" summaryRight="1"/>
    <pageSetUpPr/>
  </sheetPr>
  <dimension ref="A1:X84"/>
  <sheetViews>
    <sheetView workbookViewId="0">
      <selection activeCell="A1" sqref="A1"/>
    </sheetView>
  </sheetViews>
  <sheetFormatPr baseColWidth="8" defaultRowHeight="15"/>
  <cols>
    <col width="35" customWidth="1" min="1" max="1"/>
    <col width="12" customWidth="1" min="2" max="2"/>
    <col width="2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22" t="inlineStr">
        <is>
          <t>RAW ACE MF DATA — Scored Funds Only</t>
        </is>
      </c>
    </row>
    <row r="3" ht="30" customHeight="1">
      <c r="A3" s="3" t="inlineStr">
        <is>
          <t>RAW DATA</t>
        </is>
      </c>
      <c r="B3" s="31" t="n"/>
      <c r="C3" s="31" t="n"/>
      <c r="D3" s="31" t="n"/>
      <c r="E3" s="31" t="n"/>
      <c r="F3" s="31" t="n"/>
      <c r="G3" s="31" t="n"/>
      <c r="H3" s="31" t="n"/>
      <c r="I3" s="31" t="n"/>
      <c r="J3" s="31" t="n"/>
      <c r="K3" s="31" t="n"/>
      <c r="L3" s="31" t="n"/>
      <c r="M3" s="31" t="n"/>
      <c r="N3" s="31" t="n"/>
      <c r="O3" s="31" t="n"/>
      <c r="P3" s="31" t="n"/>
      <c r="Q3" s="31" t="n"/>
      <c r="R3" s="31" t="n"/>
      <c r="S3" s="31" t="n"/>
      <c r="T3" s="31" t="n"/>
      <c r="U3" s="31" t="n"/>
      <c r="V3" s="32" t="n"/>
    </row>
    <row r="4" ht="30" customHeight="1">
      <c r="A4" s="4" t="inlineStr">
        <is>
          <t>Fund</t>
        </is>
      </c>
      <c r="B4" s="4" t="inlineStr">
        <is>
          <t>Category</t>
        </is>
      </c>
      <c r="C4" s="4" t="inlineStr">
        <is>
          <t>Benchmark</t>
        </is>
      </c>
      <c r="D4" s="4" t="inlineStr">
        <is>
          <t>AUM (Cr)</t>
        </is>
      </c>
      <c r="E4" s="4" t="inlineStr">
        <is>
          <t>Age</t>
        </is>
      </c>
      <c r="F4" s="4" t="inlineStr">
        <is>
          <t>1Y CAGR</t>
        </is>
      </c>
      <c r="G4" s="4" t="inlineStr">
        <is>
          <t>3Y CAGR</t>
        </is>
      </c>
      <c r="H4" s="4" t="inlineStr">
        <is>
          <t>5Y CAGR</t>
        </is>
      </c>
      <c r="I4" s="4" t="inlineStr">
        <is>
          <t>10Y CAGR</t>
        </is>
      </c>
      <c r="J4" s="4" t="inlineStr">
        <is>
          <t>BM 3Y</t>
        </is>
      </c>
      <c r="K4" s="4" t="inlineStr">
        <is>
          <t>BM 5Y</t>
        </is>
      </c>
      <c r="L4" s="4" t="inlineStr">
        <is>
          <t>Sharpe</t>
        </is>
      </c>
      <c r="M4" s="4" t="inlineStr">
        <is>
          <t>Sortino</t>
        </is>
      </c>
      <c r="N4" s="4" t="inlineStr">
        <is>
          <t>IR</t>
        </is>
      </c>
      <c r="O4" s="4" t="inlineStr">
        <is>
          <t>Up Cap</t>
        </is>
      </c>
      <c r="P4" s="4" t="inlineStr">
        <is>
          <t>Down Cap</t>
        </is>
      </c>
      <c r="Q4" s="4" t="inlineStr">
        <is>
          <t>Std Dev</t>
        </is>
      </c>
      <c r="R4" s="4" t="inlineStr">
        <is>
          <t>Beta</t>
        </is>
      </c>
      <c r="S4" s="4" t="inlineStr">
        <is>
          <t>Expense</t>
        </is>
      </c>
      <c r="T4" s="4" t="inlineStr">
        <is>
          <t>Turnover</t>
        </is>
      </c>
      <c r="U4" s="4" t="inlineStr">
        <is>
          <t>FM 1</t>
        </is>
      </c>
      <c r="V4" s="4" t="inlineStr">
        <is>
          <t>FM 2</t>
        </is>
      </c>
      <c r="W4" s="4" t="inlineStr">
        <is>
          <t>ER Spread</t>
        </is>
      </c>
      <c r="X4" s="4" t="inlineStr">
        <is>
          <t>Direct ER</t>
        </is>
      </c>
    </row>
    <row r="5" ht="30" customHeight="1">
      <c r="A5" s="16" t="inlineStr">
        <is>
          <t>DSP Large Cap Fund-Reg(G)</t>
        </is>
      </c>
      <c r="B5" s="14" t="inlineStr">
        <is>
          <t>Large Cap Fund</t>
        </is>
      </c>
      <c r="C5" s="16" t="inlineStr">
        <is>
          <t>NIFTY 50 - TRI</t>
        </is>
      </c>
      <c r="D5" s="14" t="n">
        <v>7269.639</v>
      </c>
      <c r="E5" s="14" t="n">
        <v>23.0712</v>
      </c>
      <c r="F5" s="14" t="n">
        <v>-3.5335</v>
      </c>
      <c r="G5" s="14" t="n">
        <v>15.5839</v>
      </c>
      <c r="H5" s="14" t="n">
        <v>11.6666</v>
      </c>
      <c r="I5" s="14" t="n">
        <v>11.5437</v>
      </c>
      <c r="J5" s="14" t="n">
        <v>11.6209</v>
      </c>
      <c r="K5" s="14" t="n">
        <v>10.7538</v>
      </c>
      <c r="L5" s="14" t="n">
        <v>0.3259</v>
      </c>
      <c r="M5" s="14" t="n">
        <v>0.6311</v>
      </c>
      <c r="N5" s="14" t="n">
        <v>0.2636</v>
      </c>
      <c r="O5" s="14" t="n">
        <v>103.1873</v>
      </c>
      <c r="P5" s="14" t="n">
        <v>76.0356</v>
      </c>
      <c r="Q5" s="14" t="n">
        <v>3.1869</v>
      </c>
      <c r="R5" s="14" t="n">
        <v>0.9085</v>
      </c>
      <c r="S5" s="14" t="n">
        <v>1.82</v>
      </c>
      <c r="T5" s="14" t="n">
        <v>22</v>
      </c>
      <c r="U5" s="16" t="inlineStr">
        <is>
          <t>Abhishek Singh</t>
        </is>
      </c>
      <c r="V5" s="16" t="inlineStr"/>
      <c r="W5" s="14" t="n">
        <v>0.97</v>
      </c>
      <c r="X5" s="14" t="n">
        <v>0.85</v>
      </c>
    </row>
    <row r="6" ht="30" customHeight="1">
      <c r="A6" s="11" t="inlineStr">
        <is>
          <t>ICICI Pru Large Cap Fund(G)</t>
        </is>
      </c>
      <c r="B6" s="8" t="inlineStr">
        <is>
          <t>Large Cap Fund</t>
        </is>
      </c>
      <c r="C6" s="11" t="inlineStr">
        <is>
          <t>NIFTY 100 - TRI</t>
        </is>
      </c>
      <c r="D6" s="8" t="n">
        <v>77451.5855</v>
      </c>
      <c r="E6" s="8" t="n">
        <v>17.863</v>
      </c>
      <c r="F6" s="8" t="n">
        <v>-1.1726</v>
      </c>
      <c r="G6" s="8" t="n">
        <v>15.4015</v>
      </c>
      <c r="H6" s="8" t="n">
        <v>13.9087</v>
      </c>
      <c r="I6" s="8" t="n">
        <v>14.0454</v>
      </c>
      <c r="J6" s="8" t="n">
        <v>12.7795</v>
      </c>
      <c r="K6" s="8" t="n">
        <v>11.0528</v>
      </c>
      <c r="L6" s="8" t="n">
        <v>0.3273</v>
      </c>
      <c r="M6" s="8" t="n">
        <v>0.6041</v>
      </c>
      <c r="N6" s="8" t="n">
        <v>0.2583</v>
      </c>
      <c r="O6" s="8" t="n">
        <v>101.6562</v>
      </c>
      <c r="P6" s="8" t="n">
        <v>82.3002</v>
      </c>
      <c r="Q6" s="8" t="n">
        <v>3.2608</v>
      </c>
      <c r="R6" s="8" t="n">
        <v>0.9142</v>
      </c>
      <c r="S6" s="8" t="n">
        <v>1.4</v>
      </c>
      <c r="T6" s="8" t="n">
        <v>18</v>
      </c>
      <c r="U6" s="11" t="inlineStr">
        <is>
          <t>Sankaran Naren</t>
        </is>
      </c>
      <c r="V6" s="11" t="inlineStr">
        <is>
          <t>Vaibhav Dusad</t>
        </is>
      </c>
      <c r="W6" s="8" t="n">
        <v>0.55</v>
      </c>
      <c r="X6" s="8" t="n">
        <v>0.85</v>
      </c>
    </row>
    <row r="7" ht="30" customHeight="1">
      <c r="A7" s="16" t="inlineStr">
        <is>
          <t>ICICI Pru Midcap Fund(G)</t>
        </is>
      </c>
      <c r="B7" s="14" t="inlineStr">
        <is>
          <t>Mid Cap Fund</t>
        </is>
      </c>
      <c r="C7" s="16" t="inlineStr">
        <is>
          <t>Nifty Midcap 150 - TRI</t>
        </is>
      </c>
      <c r="D7" s="14" t="n">
        <v>7280.3764</v>
      </c>
      <c r="E7" s="14" t="n">
        <v>21.4329</v>
      </c>
      <c r="F7" s="14" t="n">
        <v>13.5133</v>
      </c>
      <c r="G7" s="14" t="n">
        <v>23.9111</v>
      </c>
      <c r="H7" s="14" t="n">
        <v>18.6035</v>
      </c>
      <c r="I7" s="14" t="n">
        <v>16.1513</v>
      </c>
      <c r="J7" s="14" t="n">
        <v>22.2915</v>
      </c>
      <c r="K7" s="14" t="n">
        <v>18.5983</v>
      </c>
      <c r="L7" s="14" t="n">
        <v>0.3739</v>
      </c>
      <c r="M7" s="14" t="n">
        <v>0.7415</v>
      </c>
      <c r="N7" s="14" t="n">
        <v>0.1036</v>
      </c>
      <c r="O7" s="14" t="n">
        <v>100.7825</v>
      </c>
      <c r="P7" s="14" t="n">
        <v>90.1413</v>
      </c>
      <c r="Q7" s="14" t="n">
        <v>4.6591</v>
      </c>
      <c r="R7" s="14" t="n">
        <v>0.9744</v>
      </c>
      <c r="S7" s="14" t="n">
        <v>1.85</v>
      </c>
      <c r="T7" s="14" t="n">
        <v>25</v>
      </c>
      <c r="U7" s="16" t="inlineStr">
        <is>
          <t>Lalit Kumar</t>
        </is>
      </c>
      <c r="V7" s="16" t="inlineStr"/>
      <c r="W7" s="14" t="n">
        <v>0.82</v>
      </c>
      <c r="X7" s="14" t="n">
        <v>1.03</v>
      </c>
    </row>
    <row r="8" ht="30" customHeight="1">
      <c r="A8" s="11" t="inlineStr">
        <is>
          <t>Aditya Birla SL Flexi Cap Fund-Reg(G)</t>
        </is>
      </c>
      <c r="B8" s="8" t="inlineStr">
        <is>
          <t>Flexi Cap Fund</t>
        </is>
      </c>
      <c r="C8" s="11" t="inlineStr">
        <is>
          <t>NIFTY 500 - TRI</t>
        </is>
      </c>
      <c r="D8" s="8" t="n">
        <v>25206.6038</v>
      </c>
      <c r="E8" s="8" t="n">
        <v>27.6082</v>
      </c>
      <c r="F8" s="8" t="n">
        <v>2.6279</v>
      </c>
      <c r="G8" s="8" t="n">
        <v>16.7295</v>
      </c>
      <c r="H8" s="8" t="n">
        <v>12.8847</v>
      </c>
      <c r="I8" s="8" t="n">
        <v>13.8947</v>
      </c>
      <c r="J8" s="8" t="n">
        <v>14.8836</v>
      </c>
      <c r="K8" s="8" t="n">
        <v>12.7029</v>
      </c>
      <c r="L8" s="8" t="n">
        <v>0.3213</v>
      </c>
      <c r="M8" s="8" t="n">
        <v>0.61</v>
      </c>
      <c r="N8" s="8" t="n">
        <v>0.1549</v>
      </c>
      <c r="O8" s="8" t="n">
        <v>99.68049999999999</v>
      </c>
      <c r="P8" s="8" t="n">
        <v>88.023</v>
      </c>
      <c r="Q8" s="8" t="n">
        <v>3.5599</v>
      </c>
      <c r="R8" s="8" t="n">
        <v>0.9377</v>
      </c>
      <c r="S8" s="8" t="n">
        <v>1.65</v>
      </c>
      <c r="T8" s="8" t="n">
        <v>25</v>
      </c>
      <c r="U8" s="11" t="inlineStr">
        <is>
          <t>Harish krishnan</t>
        </is>
      </c>
      <c r="V8" s="11" t="inlineStr">
        <is>
          <t>Dhaval Joshi</t>
        </is>
      </c>
      <c r="W8" s="8" t="n">
        <v>0.8</v>
      </c>
      <c r="X8" s="8" t="n">
        <v>0.85</v>
      </c>
    </row>
    <row r="9" ht="30" customHeight="1">
      <c r="A9" s="16" t="inlineStr">
        <is>
          <t>ITI Small Cap Fund-Reg(G)</t>
        </is>
      </c>
      <c r="B9" s="14" t="inlineStr">
        <is>
          <t>Small cap Fund</t>
        </is>
      </c>
      <c r="C9" s="16" t="inlineStr">
        <is>
          <t>Nifty Smallcap 250 - TRI</t>
        </is>
      </c>
      <c r="D9" s="14" t="n">
        <v>2712.4985</v>
      </c>
      <c r="E9" s="14" t="n">
        <v>6.1178</v>
      </c>
      <c r="F9" s="14" t="n">
        <v>0.4452</v>
      </c>
      <c r="G9" s="14" t="n">
        <v>22.7056</v>
      </c>
      <c r="H9" s="14" t="n">
        <v>15.5559</v>
      </c>
      <c r="I9" s="14" t="inlineStr"/>
      <c r="J9" s="14" t="n">
        <v>20.2539</v>
      </c>
      <c r="K9" s="14" t="n">
        <v>17.3376</v>
      </c>
      <c r="L9" s="14" t="n">
        <v>0.3124</v>
      </c>
      <c r="M9" s="14" t="n">
        <v>0.5692</v>
      </c>
      <c r="N9" s="14" t="n">
        <v>0.1017</v>
      </c>
      <c r="O9" s="14" t="n">
        <v>93.923</v>
      </c>
      <c r="P9" s="14" t="n">
        <v>78.3464</v>
      </c>
      <c r="Q9" s="14" t="n">
        <v>5.1139</v>
      </c>
      <c r="R9" s="14" t="n">
        <v>0.8826000000000001</v>
      </c>
      <c r="S9" s="14" t="n">
        <v>1.86</v>
      </c>
      <c r="T9" s="14" t="n">
        <v>118</v>
      </c>
      <c r="U9" s="16" t="inlineStr">
        <is>
          <t>Dhimant Shah</t>
        </is>
      </c>
      <c r="V9" s="16" t="inlineStr">
        <is>
          <t>Rohan Korde</t>
        </is>
      </c>
      <c r="W9" s="14" t="n">
        <v>1.47</v>
      </c>
      <c r="X9" s="14" t="n">
        <v>0.39</v>
      </c>
    </row>
    <row r="10" ht="30" customHeight="1">
      <c r="A10" s="11" t="inlineStr">
        <is>
          <t>Edelweiss Mid Cap Fund-Reg(G)</t>
        </is>
      </c>
      <c r="B10" s="8" t="inlineStr">
        <is>
          <t>Mid Cap Fund</t>
        </is>
      </c>
      <c r="C10" s="11" t="inlineStr">
        <is>
          <t>Nifty Midcap 150 - TRI</t>
        </is>
      </c>
      <c r="D10" s="8" t="n">
        <v>14355.2206</v>
      </c>
      <c r="E10" s="8" t="n">
        <v>18.2712</v>
      </c>
      <c r="F10" s="8" t="n">
        <v>4.5925</v>
      </c>
      <c r="G10" s="8" t="n">
        <v>23.8598</v>
      </c>
      <c r="H10" s="8" t="n">
        <v>19.4875</v>
      </c>
      <c r="I10" s="8" t="n">
        <v>17.9551</v>
      </c>
      <c r="J10" s="8" t="n">
        <v>22.2915</v>
      </c>
      <c r="K10" s="8" t="n">
        <v>18.5983</v>
      </c>
      <c r="L10" s="8" t="n">
        <v>0.3708</v>
      </c>
      <c r="M10" s="8" t="n">
        <v>0.6966</v>
      </c>
      <c r="N10" s="8" t="n">
        <v>0.09279999999999999</v>
      </c>
      <c r="O10" s="8" t="n">
        <v>101.127</v>
      </c>
      <c r="P10" s="8" t="n">
        <v>93.13420000000001</v>
      </c>
      <c r="Q10" s="8" t="n">
        <v>4.6285</v>
      </c>
      <c r="R10" s="8" t="n">
        <v>0.9751</v>
      </c>
      <c r="S10" s="8" t="n">
        <v>1.67</v>
      </c>
      <c r="T10" s="8" t="n">
        <v>40</v>
      </c>
      <c r="U10" s="11" t="inlineStr">
        <is>
          <t>Trideep Bhattacharya</t>
        </is>
      </c>
      <c r="V10" s="11" t="inlineStr">
        <is>
          <t>Dhruv Bhatia</t>
        </is>
      </c>
      <c r="W10" s="8" t="n">
        <v>1.21</v>
      </c>
      <c r="X10" s="8" t="n">
        <v>0.46</v>
      </c>
    </row>
    <row r="11" ht="30" customHeight="1">
      <c r="A11" s="16" t="inlineStr">
        <is>
          <t>Sundaram Mid Cap Fund-Reg(G)</t>
        </is>
      </c>
      <c r="B11" s="14" t="inlineStr">
        <is>
          <t>Mid Cap Fund</t>
        </is>
      </c>
      <c r="C11" s="16" t="inlineStr">
        <is>
          <t>Nifty Midcap 150 - TRI</t>
        </is>
      </c>
      <c r="D11" s="14" t="n">
        <v>13235.4994</v>
      </c>
      <c r="E11" s="14" t="n">
        <v>23.7123</v>
      </c>
      <c r="F11" s="14" t="n">
        <v>4.6405</v>
      </c>
      <c r="G11" s="14" t="n">
        <v>22.9081</v>
      </c>
      <c r="H11" s="14" t="n">
        <v>18.0871</v>
      </c>
      <c r="I11" s="14" t="n">
        <v>14.8042</v>
      </c>
      <c r="J11" s="14" t="n">
        <v>22.2915</v>
      </c>
      <c r="K11" s="14" t="n">
        <v>18.5983</v>
      </c>
      <c r="L11" s="14" t="n">
        <v>0.3757</v>
      </c>
      <c r="M11" s="14" t="n">
        <v>0.6791</v>
      </c>
      <c r="N11" s="14" t="n">
        <v>0.0442</v>
      </c>
      <c r="O11" s="14" t="n">
        <v>97.41289999999999</v>
      </c>
      <c r="P11" s="14" t="n">
        <v>89.06829999999999</v>
      </c>
      <c r="Q11" s="14" t="n">
        <v>4.3757</v>
      </c>
      <c r="R11" s="14" t="n">
        <v>0.9338</v>
      </c>
      <c r="S11" s="14" t="n">
        <v>1.73</v>
      </c>
      <c r="T11" s="14" t="n">
        <v>39.3</v>
      </c>
      <c r="U11" s="16" t="inlineStr">
        <is>
          <t>S. Bharath</t>
        </is>
      </c>
      <c r="V11" s="16" t="inlineStr"/>
      <c r="W11" s="14" t="n">
        <v>0.87</v>
      </c>
      <c r="X11" s="14" t="n">
        <v>0.86</v>
      </c>
    </row>
    <row r="12" ht="30" customHeight="1">
      <c r="A12" s="11" t="inlineStr">
        <is>
          <t>Edelweiss Small Cap Fund-Reg(G)</t>
        </is>
      </c>
      <c r="B12" s="8" t="inlineStr">
        <is>
          <t>Small cap Fund</t>
        </is>
      </c>
      <c r="C12" s="11" t="inlineStr">
        <is>
          <t>Nifty Smallcap 250 - TRI</t>
        </is>
      </c>
      <c r="D12" s="8" t="n">
        <v>5480.798</v>
      </c>
      <c r="E12" s="8" t="n">
        <v>7.1452</v>
      </c>
      <c r="F12" s="8" t="n">
        <v>0.7776999999999999</v>
      </c>
      <c r="G12" s="8" t="n">
        <v>17.9353</v>
      </c>
      <c r="H12" s="8" t="n">
        <v>17.6404</v>
      </c>
      <c r="I12" s="8" t="inlineStr"/>
      <c r="J12" s="8" t="n">
        <v>20.2539</v>
      </c>
      <c r="K12" s="8" t="n">
        <v>17.3376</v>
      </c>
      <c r="L12" s="8" t="n">
        <v>0.2727</v>
      </c>
      <c r="M12" s="8" t="n">
        <v>0.4888</v>
      </c>
      <c r="N12" s="8" t="n">
        <v>-0.1073</v>
      </c>
      <c r="O12" s="8" t="n">
        <v>83.83920000000001</v>
      </c>
      <c r="P12" s="8" t="n">
        <v>76.0763</v>
      </c>
      <c r="Q12" s="8" t="n">
        <v>4.7286</v>
      </c>
      <c r="R12" s="8" t="n">
        <v>0.8181</v>
      </c>
      <c r="S12" s="8" t="n">
        <v>1.81</v>
      </c>
      <c r="T12" s="8" t="n">
        <v>23</v>
      </c>
      <c r="U12" s="11" t="inlineStr">
        <is>
          <t>Dhruv Bhatia</t>
        </is>
      </c>
      <c r="V12" s="11" t="inlineStr">
        <is>
          <t>Trideep Bhattacharya</t>
        </is>
      </c>
      <c r="W12" s="8" t="n">
        <v>1.36</v>
      </c>
      <c r="X12" s="8" t="n">
        <v>0.45</v>
      </c>
    </row>
    <row r="13" ht="30" customHeight="1">
      <c r="A13" s="16" t="inlineStr">
        <is>
          <t>Franklin India Flexi Cap Fund(G)</t>
        </is>
      </c>
      <c r="B13" s="14" t="inlineStr">
        <is>
          <t>Flexi Cap Fund</t>
        </is>
      </c>
      <c r="C13" s="16" t="inlineStr">
        <is>
          <t>NIFTY 500 - TRI</t>
        </is>
      </c>
      <c r="D13" s="14" t="n">
        <v>19597.8579</v>
      </c>
      <c r="E13" s="14" t="n">
        <v>31.5205</v>
      </c>
      <c r="F13" s="14" t="n">
        <v>-2.9765</v>
      </c>
      <c r="G13" s="14" t="n">
        <v>15.9693</v>
      </c>
      <c r="H13" s="14" t="n">
        <v>14.2353</v>
      </c>
      <c r="I13" s="14" t="n">
        <v>13.1607</v>
      </c>
      <c r="J13" s="14" t="n">
        <v>14.8836</v>
      </c>
      <c r="K13" s="14" t="n">
        <v>12.7029</v>
      </c>
      <c r="L13" s="14" t="n">
        <v>0.3081</v>
      </c>
      <c r="M13" s="14" t="n">
        <v>0.5611</v>
      </c>
      <c r="N13" s="14" t="n">
        <v>0.0848</v>
      </c>
      <c r="O13" s="14" t="n">
        <v>98.04130000000001</v>
      </c>
      <c r="P13" s="14" t="n">
        <v>88.4854</v>
      </c>
      <c r="Q13" s="14" t="n">
        <v>3.5815</v>
      </c>
      <c r="R13" s="14" t="n">
        <v>0.9393</v>
      </c>
      <c r="S13" s="14" t="n">
        <v>1.69</v>
      </c>
      <c r="T13" s="14" t="n">
        <v>24.67</v>
      </c>
      <c r="U13" s="16" t="inlineStr">
        <is>
          <t>R. Janakiraman</t>
        </is>
      </c>
      <c r="V13" s="16" t="inlineStr">
        <is>
          <t>Rajasa Kakulavarapu</t>
        </is>
      </c>
      <c r="W13" s="14" t="n">
        <v>0.8</v>
      </c>
      <c r="X13" s="14" t="n">
        <v>0.89</v>
      </c>
    </row>
    <row r="14" ht="30" customHeight="1">
      <c r="A14" s="11" t="inlineStr">
        <is>
          <t>Mahindra Manulife Mid Cap Fund-Reg(G)</t>
        </is>
      </c>
      <c r="B14" s="8" t="inlineStr">
        <is>
          <t>Mid Cap Fund</t>
        </is>
      </c>
      <c r="C14" s="11" t="inlineStr">
        <is>
          <t>Nifty Midcap 150 - TRI</t>
        </is>
      </c>
      <c r="D14" s="8" t="n">
        <v>4440.1192</v>
      </c>
      <c r="E14" s="8" t="n">
        <v>8.1671</v>
      </c>
      <c r="F14" s="8" t="n">
        <v>3.8538</v>
      </c>
      <c r="G14" s="8" t="n">
        <v>23.173</v>
      </c>
      <c r="H14" s="8" t="n">
        <v>18.9279</v>
      </c>
      <c r="I14" s="8" t="inlineStr"/>
      <c r="J14" s="8" t="n">
        <v>22.2915</v>
      </c>
      <c r="K14" s="8" t="n">
        <v>18.5983</v>
      </c>
      <c r="L14" s="8" t="n">
        <v>0.3697</v>
      </c>
      <c r="M14" s="8" t="n">
        <v>0.6958</v>
      </c>
      <c r="N14" s="8" t="n">
        <v>0.0349</v>
      </c>
      <c r="O14" s="8" t="n">
        <v>98.4571</v>
      </c>
      <c r="P14" s="8" t="n">
        <v>92.5408</v>
      </c>
      <c r="Q14" s="8" t="n">
        <v>4.4234</v>
      </c>
      <c r="R14" s="8" t="n">
        <v>0.9424</v>
      </c>
      <c r="S14" s="8" t="n">
        <v>1.87</v>
      </c>
      <c r="T14" s="8" t="n">
        <v>61</v>
      </c>
      <c r="U14" s="11" t="inlineStr">
        <is>
          <t>Kirti Dalvi</t>
        </is>
      </c>
      <c r="V14" s="11" t="inlineStr">
        <is>
          <t>Neelesh Dhamnaskar</t>
        </is>
      </c>
      <c r="W14" s="8" t="n">
        <v>1.29</v>
      </c>
      <c r="X14" s="8" t="n">
        <v>0.58</v>
      </c>
    </row>
    <row r="15" ht="30" customHeight="1">
      <c r="A15" s="16" t="inlineStr">
        <is>
          <t>Edelweiss Flexi Cap Fund-Reg(G)</t>
        </is>
      </c>
      <c r="B15" s="14" t="inlineStr">
        <is>
          <t>Flexi Cap Fund</t>
        </is>
      </c>
      <c r="C15" s="16" t="inlineStr">
        <is>
          <t>NIFTY 500 - TRI</t>
        </is>
      </c>
      <c r="D15" s="14" t="n">
        <v>3202.7503</v>
      </c>
      <c r="E15" s="14" t="n">
        <v>11.1589</v>
      </c>
      <c r="F15" s="14" t="n">
        <v>0.7667</v>
      </c>
      <c r="G15" s="14" t="n">
        <v>16.8047</v>
      </c>
      <c r="H15" s="14" t="n">
        <v>13.9383</v>
      </c>
      <c r="I15" s="14" t="n">
        <v>14.37</v>
      </c>
      <c r="J15" s="14" t="n">
        <v>14.8836</v>
      </c>
      <c r="K15" s="14" t="n">
        <v>12.7029</v>
      </c>
      <c r="L15" s="14" t="n">
        <v>0.2989</v>
      </c>
      <c r="M15" s="14" t="n">
        <v>0.5421</v>
      </c>
      <c r="N15" s="14" t="n">
        <v>0.1614</v>
      </c>
      <c r="O15" s="14" t="n">
        <v>105.9358</v>
      </c>
      <c r="P15" s="14" t="n">
        <v>100.4881</v>
      </c>
      <c r="Q15" s="14" t="n">
        <v>3.9347</v>
      </c>
      <c r="R15" s="14" t="n">
        <v>1.029</v>
      </c>
      <c r="S15" s="14" t="n">
        <v>1.88</v>
      </c>
      <c r="T15" s="14" t="n">
        <v>45</v>
      </c>
      <c r="U15" s="16" t="inlineStr">
        <is>
          <t>Trideep Bhattacharya</t>
        </is>
      </c>
      <c r="V15" s="16" t="inlineStr">
        <is>
          <t>Ashwani Agarwalla</t>
        </is>
      </c>
      <c r="W15" s="14" t="n">
        <v>1.45</v>
      </c>
      <c r="X15" s="14" t="n">
        <v>0.43</v>
      </c>
    </row>
    <row r="16" ht="30" customHeight="1">
      <c r="A16" s="11" t="inlineStr">
        <is>
          <t>ITI Flexi Cap Fund-Reg(G)</t>
        </is>
      </c>
      <c r="B16" s="8" t="inlineStr">
        <is>
          <t>Flexi Cap Fund</t>
        </is>
      </c>
      <c r="C16" s="11" t="inlineStr">
        <is>
          <t>NIFTY 500 - TRI</t>
        </is>
      </c>
      <c r="D16" s="8" t="n">
        <v>1266.9197</v>
      </c>
      <c r="E16" s="8" t="n">
        <v>3.1151</v>
      </c>
      <c r="F16" s="8" t="n">
        <v>2.4392</v>
      </c>
      <c r="G16" s="8" t="n">
        <v>19.1755</v>
      </c>
      <c r="H16" s="8" t="inlineStr"/>
      <c r="I16" s="8" t="inlineStr"/>
      <c r="J16" s="8" t="n">
        <v>14.8836</v>
      </c>
      <c r="K16" s="8" t="n">
        <v>12.7029</v>
      </c>
      <c r="L16" s="8" t="n">
        <v>0.3137</v>
      </c>
      <c r="M16" s="8" t="n">
        <v>0.5689</v>
      </c>
      <c r="N16" s="8" t="n">
        <v>0.2371</v>
      </c>
      <c r="O16" s="8" t="n">
        <v>118.698</v>
      </c>
      <c r="P16" s="8" t="n">
        <v>110.6993</v>
      </c>
      <c r="Q16" s="8" t="n">
        <v>4.4009</v>
      </c>
      <c r="R16" s="8" t="n">
        <v>1.1197</v>
      </c>
      <c r="S16" s="8" t="n">
        <v>1.97</v>
      </c>
      <c r="T16" s="8" t="n">
        <v>138</v>
      </c>
      <c r="U16" s="11" t="inlineStr">
        <is>
          <t>Dhimant Shah</t>
        </is>
      </c>
      <c r="V16" s="11" t="inlineStr">
        <is>
          <t>Rohan Korde</t>
        </is>
      </c>
      <c r="W16" s="8" t="n">
        <v>1.61</v>
      </c>
      <c r="X16" s="8" t="n">
        <v>0.36</v>
      </c>
    </row>
    <row r="17" ht="30" customHeight="1">
      <c r="A17" s="16" t="inlineStr">
        <is>
          <t>Tata Flexi Cap Fund-Reg(G)</t>
        </is>
      </c>
      <c r="B17" s="14" t="inlineStr">
        <is>
          <t>Flexi Cap Fund</t>
        </is>
      </c>
      <c r="C17" s="16" t="inlineStr">
        <is>
          <t>NIFTY 500 - TRI</t>
        </is>
      </c>
      <c r="D17" s="14" t="n">
        <v>3698.9157</v>
      </c>
      <c r="E17" s="14" t="n">
        <v>7.5671</v>
      </c>
      <c r="F17" s="14" t="n">
        <v>-0.8483000000000001</v>
      </c>
      <c r="G17" s="14" t="n">
        <v>14.6906</v>
      </c>
      <c r="H17" s="14" t="n">
        <v>10.77</v>
      </c>
      <c r="I17" s="14" t="inlineStr"/>
      <c r="J17" s="14" t="n">
        <v>14.8836</v>
      </c>
      <c r="K17" s="14" t="n">
        <v>12.7029</v>
      </c>
      <c r="L17" s="14" t="n">
        <v>0.2905</v>
      </c>
      <c r="M17" s="14" t="n">
        <v>0.5623</v>
      </c>
      <c r="N17" s="14" t="n">
        <v>-0.0383</v>
      </c>
      <c r="O17" s="14" t="n">
        <v>89.28360000000001</v>
      </c>
      <c r="P17" s="14" t="n">
        <v>78.9276</v>
      </c>
      <c r="Q17" s="14" t="n">
        <v>3.4221</v>
      </c>
      <c r="R17" s="14" t="n">
        <v>0.8676</v>
      </c>
      <c r="S17" s="14" t="n">
        <v>1.88</v>
      </c>
      <c r="T17" s="14" t="n">
        <v>56.01</v>
      </c>
      <c r="U17" s="16" t="inlineStr">
        <is>
          <t>Anand Sharma</t>
        </is>
      </c>
      <c r="V17" s="16" t="inlineStr">
        <is>
          <t>Aditya Bagul</t>
        </is>
      </c>
      <c r="W17" s="14" t="n">
        <v>1.27</v>
      </c>
      <c r="X17" s="14" t="n">
        <v>0.61</v>
      </c>
    </row>
    <row r="18" ht="30" customHeight="1">
      <c r="A18" s="11" t="inlineStr">
        <is>
          <t>Motilal Oswal Flexi Cap Fund-Reg(G)</t>
        </is>
      </c>
      <c r="B18" s="8" t="inlineStr">
        <is>
          <t>Flexi Cap Fund</t>
        </is>
      </c>
      <c r="C18" s="11" t="inlineStr">
        <is>
          <t>NIFTY 500 - TRI</t>
        </is>
      </c>
      <c r="D18" s="8" t="n">
        <v>12890.3305</v>
      </c>
      <c r="E18" s="8" t="n">
        <v>11.9288</v>
      </c>
      <c r="F18" s="8" t="n">
        <v>-8.8332</v>
      </c>
      <c r="G18" s="8" t="n">
        <v>19.4759</v>
      </c>
      <c r="H18" s="8" t="n">
        <v>10.9359</v>
      </c>
      <c r="I18" s="8" t="n">
        <v>12.2119</v>
      </c>
      <c r="J18" s="8" t="n">
        <v>14.8836</v>
      </c>
      <c r="K18" s="8" t="n">
        <v>12.7029</v>
      </c>
      <c r="L18" s="8" t="n">
        <v>0.2933</v>
      </c>
      <c r="M18" s="8" t="n">
        <v>0.5358000000000001</v>
      </c>
      <c r="N18" s="8" t="n">
        <v>0.1433</v>
      </c>
      <c r="O18" s="8" t="n">
        <v>117.3255</v>
      </c>
      <c r="P18" s="8" t="n">
        <v>109.0339</v>
      </c>
      <c r="Q18" s="8" t="n">
        <v>4.7079</v>
      </c>
      <c r="R18" s="8" t="n">
        <v>1.0912</v>
      </c>
      <c r="S18" s="8" t="n">
        <v>1.71</v>
      </c>
      <c r="T18" s="8" t="n">
        <v>137</v>
      </c>
      <c r="U18" s="11" t="inlineStr">
        <is>
          <t>Ajay Khandelwal</t>
        </is>
      </c>
      <c r="V18" s="11" t="inlineStr">
        <is>
          <t>Atul Mehra</t>
        </is>
      </c>
      <c r="W18" s="8" t="n">
        <v>0.9</v>
      </c>
      <c r="X18" s="8" t="n">
        <v>0.8100000000000001</v>
      </c>
    </row>
    <row r="19" ht="30" customHeight="1">
      <c r="A19" s="16" t="inlineStr">
        <is>
          <t>Sundaram Small Cap Fund(G)</t>
        </is>
      </c>
      <c r="B19" s="14" t="inlineStr">
        <is>
          <t>Small cap Fund</t>
        </is>
      </c>
      <c r="C19" s="16" t="inlineStr">
        <is>
          <t>Nifty Smallcap 250 - TRI</t>
        </is>
      </c>
      <c r="D19" s="14" t="n">
        <v>3306.1917</v>
      </c>
      <c r="E19" s="14" t="n">
        <v>21.1315</v>
      </c>
      <c r="F19" s="14" t="n">
        <v>2.8618</v>
      </c>
      <c r="G19" s="14" t="n">
        <v>17.3507</v>
      </c>
      <c r="H19" s="14" t="n">
        <v>17.1672</v>
      </c>
      <c r="I19" s="14" t="n">
        <v>13.7612</v>
      </c>
      <c r="J19" s="14" t="n">
        <v>20.2539</v>
      </c>
      <c r="K19" s="14" t="n">
        <v>17.3376</v>
      </c>
      <c r="L19" s="14" t="n">
        <v>0.2619</v>
      </c>
      <c r="M19" s="14" t="n">
        <v>0.4543</v>
      </c>
      <c r="N19" s="14" t="n">
        <v>-0.1275</v>
      </c>
      <c r="O19" s="14" t="n">
        <v>84.2073</v>
      </c>
      <c r="P19" s="14" t="n">
        <v>79.2552</v>
      </c>
      <c r="Q19" s="14" t="n">
        <v>4.7736</v>
      </c>
      <c r="R19" s="14" t="n">
        <v>0.8216</v>
      </c>
      <c r="S19" s="14" t="n">
        <v>1.94</v>
      </c>
      <c r="T19" s="14" t="n">
        <v>33.4</v>
      </c>
      <c r="U19" s="16" t="inlineStr">
        <is>
          <t>Rohit Seksaria</t>
        </is>
      </c>
      <c r="V19" s="16" t="inlineStr"/>
      <c r="W19" s="14" t="n">
        <v>1.11</v>
      </c>
      <c r="X19" s="14" t="n">
        <v>0.83</v>
      </c>
    </row>
    <row r="20" ht="30" customHeight="1">
      <c r="A20" s="11" t="inlineStr">
        <is>
          <t>Tata Mid Cap Fund-Reg(G)</t>
        </is>
      </c>
      <c r="B20" s="8" t="inlineStr">
        <is>
          <t>Mid Cap Fund</t>
        </is>
      </c>
      <c r="C20" s="11" t="inlineStr">
        <is>
          <t>Nifty Midcap 150 - TRI</t>
        </is>
      </c>
      <c r="D20" s="8" t="n">
        <v>5505.2759</v>
      </c>
      <c r="E20" s="8" t="n">
        <v>31.7671</v>
      </c>
      <c r="F20" s="8" t="n">
        <v>3.889</v>
      </c>
      <c r="G20" s="8" t="n">
        <v>20.1432</v>
      </c>
      <c r="H20" s="8" t="n">
        <v>16.1503</v>
      </c>
      <c r="I20" s="8" t="n">
        <v>15.7816</v>
      </c>
      <c r="J20" s="8" t="n">
        <v>22.2915</v>
      </c>
      <c r="K20" s="8" t="n">
        <v>18.5983</v>
      </c>
      <c r="L20" s="8" t="n">
        <v>0.3417</v>
      </c>
      <c r="M20" s="8" t="n">
        <v>0.6493</v>
      </c>
      <c r="N20" s="8" t="n">
        <v>-0.1276</v>
      </c>
      <c r="O20" s="8" t="n">
        <v>89.9872</v>
      </c>
      <c r="P20" s="8" t="n">
        <v>87.2086</v>
      </c>
      <c r="Q20" s="8" t="n">
        <v>4.2117</v>
      </c>
      <c r="R20" s="8" t="n">
        <v>0.8875</v>
      </c>
      <c r="S20" s="8" t="n">
        <v>1.83</v>
      </c>
      <c r="T20" s="8" t="n">
        <v>31.47</v>
      </c>
      <c r="U20" s="11" t="inlineStr">
        <is>
          <t>Satish Chandra Mishra</t>
        </is>
      </c>
      <c r="V20" s="11" t="inlineStr"/>
      <c r="W20" s="8" t="n">
        <v>1.19</v>
      </c>
      <c r="X20" s="8" t="n">
        <v>0.64</v>
      </c>
    </row>
    <row r="21" ht="30" customHeight="1">
      <c r="A21" s="16" t="inlineStr">
        <is>
          <t>WOC Mid Cap Fund-Reg(G)</t>
        </is>
      </c>
      <c r="B21" s="14" t="inlineStr">
        <is>
          <t>Mid Cap Fund</t>
        </is>
      </c>
      <c r="C21" s="16" t="inlineStr">
        <is>
          <t>BSE 150 MidCap - TRI</t>
        </is>
      </c>
      <c r="D21" s="14" t="n">
        <v>4694.8525</v>
      </c>
      <c r="E21" s="14" t="n">
        <v>3.5616</v>
      </c>
      <c r="F21" s="14" t="n">
        <v>6.4953</v>
      </c>
      <c r="G21" s="14" t="n">
        <v>24.5759</v>
      </c>
      <c r="H21" s="14" t="inlineStr"/>
      <c r="I21" s="14" t="inlineStr"/>
      <c r="J21" s="14" t="n">
        <v>27.8668</v>
      </c>
      <c r="K21" s="14" t="n">
        <v>29.6846</v>
      </c>
      <c r="L21" s="14" t="n">
        <v>0.3886</v>
      </c>
      <c r="M21" s="14" t="n">
        <v>0.735</v>
      </c>
      <c r="N21" s="14" t="n">
        <v>0.3624</v>
      </c>
      <c r="O21" s="14" t="n">
        <v>145.8909</v>
      </c>
      <c r="P21" s="14" t="n">
        <v>92.98820000000001</v>
      </c>
      <c r="Q21" s="14" t="n">
        <v>4.4919</v>
      </c>
      <c r="R21" s="14" t="n">
        <v>1.0808</v>
      </c>
      <c r="S21" s="14" t="n">
        <v>1.85</v>
      </c>
      <c r="T21" s="14" t="n">
        <v>235</v>
      </c>
      <c r="U21" s="16" t="inlineStr">
        <is>
          <t>Ramesh Mantri</t>
        </is>
      </c>
      <c r="V21" s="16" t="inlineStr">
        <is>
          <t>Piyush Baranwal</t>
        </is>
      </c>
      <c r="W21" s="14" t="n">
        <v>1.26</v>
      </c>
      <c r="X21" s="14" t="n">
        <v>0.59</v>
      </c>
    </row>
    <row r="22" ht="30" customHeight="1">
      <c r="A22" s="11" t="inlineStr">
        <is>
          <t>HDFC Large Cap Fund(G)</t>
        </is>
      </c>
      <c r="B22" s="8" t="inlineStr">
        <is>
          <t>Large Cap Fund</t>
        </is>
      </c>
      <c r="C22" s="11" t="inlineStr">
        <is>
          <t>NIFTY 100 - TRI</t>
        </is>
      </c>
      <c r="D22" s="8" t="n">
        <v>40085.1928</v>
      </c>
      <c r="E22" s="8" t="n">
        <v>29.4849</v>
      </c>
      <c r="F22" s="8" t="n">
        <v>-3.2353</v>
      </c>
      <c r="G22" s="8" t="n">
        <v>13.0775</v>
      </c>
      <c r="H22" s="8" t="n">
        <v>12.9474</v>
      </c>
      <c r="I22" s="8" t="n">
        <v>12.9884</v>
      </c>
      <c r="J22" s="8" t="n">
        <v>12.7795</v>
      </c>
      <c r="K22" s="8" t="n">
        <v>11.0528</v>
      </c>
      <c r="L22" s="8" t="n">
        <v>0.266</v>
      </c>
      <c r="M22" s="8" t="n">
        <v>0.4763</v>
      </c>
      <c r="N22" s="8" t="n">
        <v>0.0041</v>
      </c>
      <c r="O22" s="8" t="n">
        <v>95.21429999999999</v>
      </c>
      <c r="P22" s="8" t="n">
        <v>88.3165</v>
      </c>
      <c r="Q22" s="8" t="n">
        <v>3.329</v>
      </c>
      <c r="R22" s="8" t="n">
        <v>0.9369</v>
      </c>
      <c r="S22" s="8" t="n">
        <v>1.59</v>
      </c>
      <c r="T22" s="8" t="n">
        <v>29.18</v>
      </c>
      <c r="U22" s="11" t="inlineStr">
        <is>
          <t>Rahul Baijal</t>
        </is>
      </c>
      <c r="V22" s="11" t="inlineStr"/>
      <c r="W22" s="8" t="n">
        <v>0.58</v>
      </c>
      <c r="X22" s="8" t="n">
        <v>1.01</v>
      </c>
    </row>
    <row r="23" ht="30" customHeight="1">
      <c r="A23" s="16" t="inlineStr">
        <is>
          <t>Nippon India Large Cap Fund(G)</t>
        </is>
      </c>
      <c r="B23" s="14" t="inlineStr">
        <is>
          <t>Large Cap Fund</t>
        </is>
      </c>
      <c r="C23" s="16" t="inlineStr">
        <is>
          <t>BSE 100 - TRI</t>
        </is>
      </c>
      <c r="D23" s="14" t="n">
        <v>51403.7963</v>
      </c>
      <c r="E23" s="14" t="n">
        <v>18.6548</v>
      </c>
      <c r="F23" s="14" t="n">
        <v>-0.629</v>
      </c>
      <c r="G23" s="14" t="n">
        <v>16.476</v>
      </c>
      <c r="H23" s="14" t="n">
        <v>15.8236</v>
      </c>
      <c r="I23" s="14" t="n">
        <v>14.1938</v>
      </c>
      <c r="J23" s="14" t="n">
        <v>18.9841</v>
      </c>
      <c r="K23" s="14" t="n">
        <v>21.0624</v>
      </c>
      <c r="L23" s="14" t="n">
        <v>0.3267</v>
      </c>
      <c r="M23" s="14" t="n">
        <v>0.6108</v>
      </c>
      <c r="N23" s="14" t="n">
        <v>0.4453</v>
      </c>
      <c r="O23" s="14" t="n">
        <v>112.2027</v>
      </c>
      <c r="P23" s="14" t="n">
        <v>86.3792</v>
      </c>
      <c r="Q23" s="14" t="n">
        <v>3.5143</v>
      </c>
      <c r="R23" s="14" t="n">
        <v>0.9882</v>
      </c>
      <c r="S23" s="14" t="n">
        <v>1.47</v>
      </c>
      <c r="T23" s="14" t="n">
        <v>24</v>
      </c>
      <c r="U23" s="16" t="inlineStr">
        <is>
          <t>Sailesh Raj Bhan</t>
        </is>
      </c>
      <c r="V23" s="16" t="inlineStr">
        <is>
          <t>Bhavik Dave</t>
        </is>
      </c>
      <c r="W23" s="14" t="n">
        <v>0.82</v>
      </c>
      <c r="X23" s="14" t="n">
        <v>0.65</v>
      </c>
    </row>
    <row r="24" ht="30" customHeight="1">
      <c r="A24" s="11" t="inlineStr">
        <is>
          <t>Bandhan Large Cap Fund-Reg(G)</t>
        </is>
      </c>
      <c r="B24" s="8" t="inlineStr">
        <is>
          <t>Large Cap Fund</t>
        </is>
      </c>
      <c r="C24" s="11" t="inlineStr">
        <is>
          <t>NIFTY 50 - TRI</t>
        </is>
      </c>
      <c r="D24" s="8" t="n">
        <v>2023.9277</v>
      </c>
      <c r="E24" s="8" t="n">
        <v>19.8192</v>
      </c>
      <c r="F24" s="8" t="n">
        <v>-0.6188</v>
      </c>
      <c r="G24" s="8" t="n">
        <v>15.0325</v>
      </c>
      <c r="H24" s="8" t="n">
        <v>11.5757</v>
      </c>
      <c r="I24" s="8" t="n">
        <v>12.2926</v>
      </c>
      <c r="J24" s="8" t="n">
        <v>11.6209</v>
      </c>
      <c r="K24" s="8" t="n">
        <v>10.7538</v>
      </c>
      <c r="L24" s="8" t="n">
        <v>0.2807</v>
      </c>
      <c r="M24" s="8" t="n">
        <v>0.524</v>
      </c>
      <c r="N24" s="8" t="n">
        <v>0.2804</v>
      </c>
      <c r="O24" s="8" t="n">
        <v>116.4354</v>
      </c>
      <c r="P24" s="8" t="n">
        <v>105.4324</v>
      </c>
      <c r="Q24" s="8" t="n">
        <v>3.7424</v>
      </c>
      <c r="R24" s="8" t="n">
        <v>1.0816</v>
      </c>
      <c r="S24" s="8" t="n">
        <v>2.02</v>
      </c>
      <c r="T24" s="8" t="n">
        <v>81</v>
      </c>
      <c r="U24" s="11" t="inlineStr">
        <is>
          <t>Manish Gunwani</t>
        </is>
      </c>
      <c r="V24" s="11" t="inlineStr">
        <is>
          <t>Prateek Poddar</t>
        </is>
      </c>
      <c r="W24" s="8" t="n">
        <v>1.16</v>
      </c>
      <c r="X24" s="8" t="n">
        <v>0.86</v>
      </c>
    </row>
    <row r="25" ht="30" customHeight="1">
      <c r="A25" s="16" t="inlineStr">
        <is>
          <t>Baroda BNP Paribas Mid Cap Fund-Reg(G)</t>
        </is>
      </c>
      <c r="B25" s="14" t="inlineStr">
        <is>
          <t>Mid Cap Fund</t>
        </is>
      </c>
      <c r="C25" s="16" t="inlineStr">
        <is>
          <t>Nifty Midcap 150 - TRI</t>
        </is>
      </c>
      <c r="D25" s="14" t="n">
        <v>2340.6015</v>
      </c>
      <c r="E25" s="14" t="n">
        <v>19.9233</v>
      </c>
      <c r="F25" s="14" t="n">
        <v>5.2415</v>
      </c>
      <c r="G25" s="14" t="n">
        <v>20.0264</v>
      </c>
      <c r="H25" s="14" t="n">
        <v>16.3709</v>
      </c>
      <c r="I25" s="14" t="n">
        <v>15.2881</v>
      </c>
      <c r="J25" s="14" t="n">
        <v>22.2915</v>
      </c>
      <c r="K25" s="14" t="n">
        <v>18.5983</v>
      </c>
      <c r="L25" s="14" t="n">
        <v>0.3536</v>
      </c>
      <c r="M25" s="14" t="n">
        <v>0.6433</v>
      </c>
      <c r="N25" s="14" t="n">
        <v>-0.1733</v>
      </c>
      <c r="O25" s="14" t="n">
        <v>86.9562</v>
      </c>
      <c r="P25" s="14" t="n">
        <v>83.2838</v>
      </c>
      <c r="Q25" s="14" t="n">
        <v>3.9145</v>
      </c>
      <c r="R25" s="14" t="n">
        <v>0.8305</v>
      </c>
      <c r="S25" s="14" t="n">
        <v>1.97</v>
      </c>
      <c r="T25" s="14" t="n">
        <v>67</v>
      </c>
      <c r="U25" s="16" t="inlineStr">
        <is>
          <t>Pratish Krishnan</t>
        </is>
      </c>
      <c r="V25" s="16" t="inlineStr">
        <is>
          <t>Himanshu Singh</t>
        </is>
      </c>
      <c r="W25" s="14" t="n">
        <v>1.44</v>
      </c>
      <c r="X25" s="14" t="n">
        <v>0.53</v>
      </c>
    </row>
    <row r="26" ht="30" customHeight="1">
      <c r="A26" s="11" t="inlineStr">
        <is>
          <t>WOC Flexi Cap Fund-Reg(G)</t>
        </is>
      </c>
      <c r="B26" s="8" t="inlineStr">
        <is>
          <t>Flexi Cap Fund</t>
        </is>
      </c>
      <c r="C26" s="11" t="inlineStr">
        <is>
          <t>BSE 500 - TRI</t>
        </is>
      </c>
      <c r="D26" s="8" t="n">
        <v>7286.8557</v>
      </c>
      <c r="E26" s="8" t="n">
        <v>3.6603</v>
      </c>
      <c r="F26" s="8" t="n">
        <v>-1.3562</v>
      </c>
      <c r="G26" s="8" t="n">
        <v>17.4049</v>
      </c>
      <c r="H26" s="8" t="inlineStr"/>
      <c r="I26" s="8" t="inlineStr"/>
      <c r="J26" s="8" t="n">
        <v>20.2217</v>
      </c>
      <c r="K26" s="8" t="n">
        <v>22.4629</v>
      </c>
      <c r="L26" s="8" t="n">
        <v>0.3203</v>
      </c>
      <c r="M26" s="8" t="n">
        <v>0.5907</v>
      </c>
      <c r="N26" s="8" t="n">
        <v>0.2758</v>
      </c>
      <c r="O26" s="8" t="n">
        <v>120.6338</v>
      </c>
      <c r="P26" s="8" t="n">
        <v>97.1207</v>
      </c>
      <c r="Q26" s="8" t="n">
        <v>3.7663</v>
      </c>
      <c r="R26" s="8" t="n">
        <v>1.0239</v>
      </c>
      <c r="S26" s="8" t="n">
        <v>1.77</v>
      </c>
      <c r="T26" s="8" t="n">
        <v>156</v>
      </c>
      <c r="U26" s="11" t="inlineStr">
        <is>
          <t>Ramesh Mantri</t>
        </is>
      </c>
      <c r="V26" s="11" t="inlineStr">
        <is>
          <t>Piyush Baranwal</t>
        </is>
      </c>
      <c r="W26" s="8" t="n">
        <v>1.2</v>
      </c>
      <c r="X26" s="8" t="n">
        <v>0.57</v>
      </c>
    </row>
    <row r="27" ht="30" customHeight="1">
      <c r="A27" s="16" t="inlineStr">
        <is>
          <t>Invesco India Smallcap Fund-Reg(G)</t>
        </is>
      </c>
      <c r="B27" s="14" t="inlineStr">
        <is>
          <t>Small cap Fund</t>
        </is>
      </c>
      <c r="C27" s="16" t="inlineStr">
        <is>
          <t>BSE 250 Small Cap - TRI</t>
        </is>
      </c>
      <c r="D27" s="14" t="n">
        <v>9716.3977</v>
      </c>
      <c r="E27" s="14" t="n">
        <v>7.4192</v>
      </c>
      <c r="F27" s="14" t="n">
        <v>2.9001</v>
      </c>
      <c r="G27" s="14" t="n">
        <v>22.3768</v>
      </c>
      <c r="H27" s="14" t="n">
        <v>20.0151</v>
      </c>
      <c r="I27" s="14" t="inlineStr"/>
      <c r="J27" s="14" t="n">
        <v>26.9976</v>
      </c>
      <c r="K27" s="14" t="n">
        <v>31.2219</v>
      </c>
      <c r="L27" s="14" t="n">
        <v>0.3122</v>
      </c>
      <c r="M27" s="14" t="n">
        <v>0.5561</v>
      </c>
      <c r="N27" s="14" t="n">
        <v>0.2347</v>
      </c>
      <c r="O27" s="14" t="n">
        <v>146.2867</v>
      </c>
      <c r="P27" s="14" t="n">
        <v>113.934</v>
      </c>
      <c r="Q27" s="14" t="n">
        <v>5.1369</v>
      </c>
      <c r="R27" s="14" t="n">
        <v>1.1241</v>
      </c>
      <c r="S27" s="14" t="n">
        <v>1.7</v>
      </c>
      <c r="T27" s="14" t="n">
        <v>52</v>
      </c>
      <c r="U27" s="16" t="inlineStr">
        <is>
          <t>Taher Badshah</t>
        </is>
      </c>
      <c r="V27" s="16" t="inlineStr">
        <is>
          <t>Aditya Khemani</t>
        </is>
      </c>
      <c r="W27" s="14" t="n">
        <v>1.3</v>
      </c>
      <c r="X27" s="14" t="n">
        <v>0.4</v>
      </c>
    </row>
    <row r="28" ht="30" customHeight="1">
      <c r="A28" s="11" t="inlineStr">
        <is>
          <t>Mirae Asset Flexi Cap Fund-Reg(G)</t>
        </is>
      </c>
      <c r="B28" s="8" t="inlineStr">
        <is>
          <t>Flexi Cap Fund</t>
        </is>
      </c>
      <c r="C28" s="11" t="inlineStr">
        <is>
          <t>NIFTY 500 - TRI</t>
        </is>
      </c>
      <c r="D28" s="8" t="n">
        <v>3655.7944</v>
      </c>
      <c r="E28" s="8" t="n">
        <v>3.0959</v>
      </c>
      <c r="F28" s="8" t="n">
        <v>1.8793</v>
      </c>
      <c r="G28" s="8" t="n">
        <v>14.7124</v>
      </c>
      <c r="H28" s="8" t="inlineStr"/>
      <c r="I28" s="8" t="inlineStr"/>
      <c r="J28" s="8" t="n">
        <v>14.8836</v>
      </c>
      <c r="K28" s="8" t="n">
        <v>12.7029</v>
      </c>
      <c r="L28" s="8" t="n">
        <v>0.2838</v>
      </c>
      <c r="M28" s="8" t="n">
        <v>0.5286</v>
      </c>
      <c r="N28" s="8" t="n">
        <v>-0.0201</v>
      </c>
      <c r="O28" s="8" t="n">
        <v>96.8621</v>
      </c>
      <c r="P28" s="8" t="n">
        <v>93.8635</v>
      </c>
      <c r="Q28" s="8" t="n">
        <v>3.6127</v>
      </c>
      <c r="R28" s="8" t="n">
        <v>0.9478</v>
      </c>
      <c r="S28" s="8" t="n">
        <v>1.87</v>
      </c>
      <c r="T28" s="8" t="n">
        <v>28</v>
      </c>
      <c r="U28" s="11" t="inlineStr">
        <is>
          <t>Varun Goel</t>
        </is>
      </c>
      <c r="V28" s="11" t="inlineStr"/>
      <c r="W28" s="8" t="n">
        <v>1.43</v>
      </c>
      <c r="X28" s="8" t="n">
        <v>0.44</v>
      </c>
    </row>
    <row r="29" ht="30" customHeight="1">
      <c r="A29" s="16" t="inlineStr">
        <is>
          <t>Bank of India Flexi Cap Fund-Reg(G)</t>
        </is>
      </c>
      <c r="B29" s="14" t="inlineStr">
        <is>
          <t>Flexi Cap Fund</t>
        </is>
      </c>
      <c r="C29" s="16" t="inlineStr">
        <is>
          <t>BSE 500 - TRI</t>
        </is>
      </c>
      <c r="D29" s="14" t="n">
        <v>2186.4888</v>
      </c>
      <c r="E29" s="14" t="n">
        <v>5.7534</v>
      </c>
      <c r="F29" s="14" t="n">
        <v>2.2898</v>
      </c>
      <c r="G29" s="14" t="n">
        <v>21.0173</v>
      </c>
      <c r="H29" s="14" t="n">
        <v>17.4632</v>
      </c>
      <c r="I29" s="14" t="inlineStr"/>
      <c r="J29" s="14" t="n">
        <v>20.2217</v>
      </c>
      <c r="K29" s="14" t="n">
        <v>22.4629</v>
      </c>
      <c r="L29" s="14" t="n">
        <v>0.3082</v>
      </c>
      <c r="M29" s="14" t="n">
        <v>0.569</v>
      </c>
      <c r="N29" s="14" t="n">
        <v>0.2293</v>
      </c>
      <c r="O29" s="14" t="n">
        <v>138.11</v>
      </c>
      <c r="P29" s="14" t="n">
        <v>111.0696</v>
      </c>
      <c r="Q29" s="14" t="n">
        <v>4.717</v>
      </c>
      <c r="R29" s="14" t="n">
        <v>1.1039</v>
      </c>
      <c r="S29" s="14" t="n">
        <v>1.92</v>
      </c>
      <c r="T29" s="14" t="n">
        <v>68</v>
      </c>
      <c r="U29" s="16" t="inlineStr">
        <is>
          <t>Alok Singh</t>
        </is>
      </c>
      <c r="V29" s="16" t="inlineStr"/>
      <c r="W29" s="14" t="n">
        <v>1.4</v>
      </c>
      <c r="X29" s="14" t="n">
        <v>0.52</v>
      </c>
    </row>
    <row r="30" ht="30" customHeight="1">
      <c r="A30" s="11" t="inlineStr">
        <is>
          <t>Baroda BNP Paribas Large Cap Fund-Reg(G)</t>
        </is>
      </c>
      <c r="B30" s="8" t="inlineStr">
        <is>
          <t>Large Cap Fund</t>
        </is>
      </c>
      <c r="C30" s="11" t="inlineStr">
        <is>
          <t>NIFTY 100 - TRI</t>
        </is>
      </c>
      <c r="D30" s="8" t="n">
        <v>2638.64</v>
      </c>
      <c r="E30" s="8" t="n">
        <v>21.5288</v>
      </c>
      <c r="F30" s="8" t="n">
        <v>-2.2673</v>
      </c>
      <c r="G30" s="8" t="n">
        <v>13.8233</v>
      </c>
      <c r="H30" s="8" t="n">
        <v>11.7359</v>
      </c>
      <c r="I30" s="8" t="n">
        <v>12.3955</v>
      </c>
      <c r="J30" s="8" t="n">
        <v>12.7795</v>
      </c>
      <c r="K30" s="8" t="n">
        <v>11.0528</v>
      </c>
      <c r="L30" s="8" t="n">
        <v>0.2778</v>
      </c>
      <c r="M30" s="8" t="n">
        <v>0.4992</v>
      </c>
      <c r="N30" s="8" t="n">
        <v>0.0839</v>
      </c>
      <c r="O30" s="8" t="n">
        <v>101.7435</v>
      </c>
      <c r="P30" s="8" t="n">
        <v>95.76690000000001</v>
      </c>
      <c r="Q30" s="8" t="n">
        <v>3.4338</v>
      </c>
      <c r="R30" s="8" t="n">
        <v>0.9529</v>
      </c>
      <c r="S30" s="8" t="n">
        <v>1.98</v>
      </c>
      <c r="T30" s="8" t="n">
        <v>65</v>
      </c>
      <c r="U30" s="11" t="inlineStr">
        <is>
          <t>Jitendra Sriram</t>
        </is>
      </c>
      <c r="V30" s="11" t="inlineStr">
        <is>
          <t>Kushant Arora</t>
        </is>
      </c>
      <c r="W30" s="8" t="n">
        <v>1.16</v>
      </c>
      <c r="X30" s="8" t="n">
        <v>0.82</v>
      </c>
    </row>
    <row r="31" ht="30" customHeight="1">
      <c r="A31" s="16" t="inlineStr">
        <is>
          <t>Bank of India Small Cap Fund-Reg(G)</t>
        </is>
      </c>
      <c r="B31" s="14" t="inlineStr">
        <is>
          <t>Small cap Fund</t>
        </is>
      </c>
      <c r="C31" s="16" t="inlineStr">
        <is>
          <t>Nifty Smallcap 250 - TRI</t>
        </is>
      </c>
      <c r="D31" s="14" t="n">
        <v>1903.7001</v>
      </c>
      <c r="E31" s="14" t="n">
        <v>7.2822</v>
      </c>
      <c r="F31" s="14" t="n">
        <v>-1.0514</v>
      </c>
      <c r="G31" s="14" t="n">
        <v>18.459</v>
      </c>
      <c r="H31" s="14" t="n">
        <v>18.1102</v>
      </c>
      <c r="I31" s="14" t="inlineStr"/>
      <c r="J31" s="14" t="n">
        <v>20.2539</v>
      </c>
      <c r="K31" s="14" t="n">
        <v>17.3376</v>
      </c>
      <c r="L31" s="14" t="n">
        <v>0.2408</v>
      </c>
      <c r="M31" s="14" t="n">
        <v>0.4165</v>
      </c>
      <c r="N31" s="14" t="n">
        <v>-0.1044</v>
      </c>
      <c r="O31" s="14" t="n">
        <v>88.07389999999999</v>
      </c>
      <c r="P31" s="14" t="n">
        <v>87.0162</v>
      </c>
      <c r="Q31" s="14" t="n">
        <v>5.2753</v>
      </c>
      <c r="R31" s="14" t="n">
        <v>0.893</v>
      </c>
      <c r="S31" s="14" t="n">
        <v>1.95</v>
      </c>
      <c r="T31" s="14" t="n">
        <v>96</v>
      </c>
      <c r="U31" s="16" t="inlineStr">
        <is>
          <t>Alok Singh</t>
        </is>
      </c>
      <c r="V31" s="16" t="inlineStr">
        <is>
          <t>Nav Bhardwaj</t>
        </is>
      </c>
      <c r="W31" s="14" t="n">
        <v>1.44</v>
      </c>
      <c r="X31" s="14" t="n">
        <v>0.51</v>
      </c>
    </row>
    <row r="32" ht="30" customHeight="1">
      <c r="A32" s="11" t="inlineStr">
        <is>
          <t>Mahindra Manulife Small Cap Fund-Reg(G)</t>
        </is>
      </c>
      <c r="B32" s="8" t="inlineStr">
        <is>
          <t>Small cap Fund</t>
        </is>
      </c>
      <c r="C32" s="11" t="inlineStr">
        <is>
          <t>BSE 250 Small Cap - TRI</t>
        </is>
      </c>
      <c r="D32" s="8" t="n">
        <v>4075.538</v>
      </c>
      <c r="E32" s="8" t="n">
        <v>3.2986</v>
      </c>
      <c r="F32" s="8" t="n">
        <v>1.8575</v>
      </c>
      <c r="G32" s="8" t="n">
        <v>22.0414</v>
      </c>
      <c r="H32" s="8" t="inlineStr"/>
      <c r="I32" s="8" t="inlineStr"/>
      <c r="J32" s="8" t="n">
        <v>26.9976</v>
      </c>
      <c r="K32" s="8" t="n">
        <v>31.2219</v>
      </c>
      <c r="L32" s="8" t="n">
        <v>0.3075</v>
      </c>
      <c r="M32" s="8" t="n">
        <v>0.5568</v>
      </c>
      <c r="N32" s="8" t="n">
        <v>0.2272</v>
      </c>
      <c r="O32" s="8" t="n">
        <v>145.7323</v>
      </c>
      <c r="P32" s="8" t="n">
        <v>115.7594</v>
      </c>
      <c r="Q32" s="8" t="n">
        <v>5.1295</v>
      </c>
      <c r="R32" s="8" t="n">
        <v>1.1211</v>
      </c>
      <c r="S32" s="8" t="n">
        <v>1.87</v>
      </c>
      <c r="T32" s="8" t="n">
        <v>102</v>
      </c>
      <c r="U32" s="11" t="inlineStr">
        <is>
          <t>Vishal Jajoo</t>
        </is>
      </c>
      <c r="V32" s="11" t="inlineStr">
        <is>
          <t>Neelesh Dhamnaskar</t>
        </is>
      </c>
      <c r="W32" s="8" t="n">
        <v>1.33</v>
      </c>
      <c r="X32" s="8" t="n">
        <v>0.54</v>
      </c>
    </row>
    <row r="33" ht="30" customHeight="1">
      <c r="A33" s="16" t="inlineStr">
        <is>
          <t>HSBC Midcap Fund-Reg(G)</t>
        </is>
      </c>
      <c r="B33" s="14" t="inlineStr">
        <is>
          <t>Mid Cap Fund</t>
        </is>
      </c>
      <c r="C33" s="16" t="inlineStr">
        <is>
          <t>Nifty Midcap 150 - TRI</t>
        </is>
      </c>
      <c r="D33" s="14" t="n">
        <v>12447.6985</v>
      </c>
      <c r="E33" s="14" t="n">
        <v>21.6521</v>
      </c>
      <c r="F33" s="14" t="n">
        <v>10.0378</v>
      </c>
      <c r="G33" s="14" t="n">
        <v>23.3743</v>
      </c>
      <c r="H33" s="14" t="n">
        <v>16.8688</v>
      </c>
      <c r="I33" s="14" t="n">
        <v>16.2967</v>
      </c>
      <c r="J33" s="14" t="n">
        <v>22.2915</v>
      </c>
      <c r="K33" s="14" t="n">
        <v>18.5983</v>
      </c>
      <c r="L33" s="14" t="n">
        <v>0.3345</v>
      </c>
      <c r="M33" s="14" t="n">
        <v>0.5518</v>
      </c>
      <c r="N33" s="14" t="n">
        <v>0.0476</v>
      </c>
      <c r="O33" s="14" t="n">
        <v>103.5628</v>
      </c>
      <c r="P33" s="14" t="n">
        <v>103.563</v>
      </c>
      <c r="Q33" s="14" t="n">
        <v>5.0416</v>
      </c>
      <c r="R33" s="14" t="n">
        <v>1.0275</v>
      </c>
      <c r="S33" s="14" t="n">
        <v>1.72</v>
      </c>
      <c r="T33" s="14" t="n">
        <v>99</v>
      </c>
      <c r="U33" s="16" t="inlineStr">
        <is>
          <t>Cheenu Gupta</t>
        </is>
      </c>
      <c r="V33" s="16" t="inlineStr"/>
      <c r="W33" s="14" t="n">
        <v>1.07</v>
      </c>
      <c r="X33" s="14" t="n">
        <v>0.65</v>
      </c>
    </row>
    <row r="34" ht="30" customHeight="1">
      <c r="A34" s="11" t="inlineStr">
        <is>
          <t>Kotak Large Cap Fund(IDCW)</t>
        </is>
      </c>
      <c r="B34" s="8" t="inlineStr">
        <is>
          <t>Large Cap Fund</t>
        </is>
      </c>
      <c r="C34" s="11" t="inlineStr">
        <is>
          <t>NIFTY 100 - TRI</t>
        </is>
      </c>
      <c r="D34" s="8" t="n">
        <v>10925.2288</v>
      </c>
      <c r="E34" s="8" t="n">
        <v>27.2685</v>
      </c>
      <c r="F34" s="8" t="n">
        <v>-1.0555</v>
      </c>
      <c r="G34" s="8" t="n">
        <v>13.1033</v>
      </c>
      <c r="H34" s="8" t="n">
        <v>11.1884</v>
      </c>
      <c r="I34" s="8" t="n">
        <v>12.1765</v>
      </c>
      <c r="J34" s="8" t="n">
        <v>12.7795</v>
      </c>
      <c r="K34" s="8" t="n">
        <v>11.0528</v>
      </c>
      <c r="L34" s="8" t="n">
        <v>0.2632</v>
      </c>
      <c r="M34" s="8" t="n">
        <v>0.478</v>
      </c>
      <c r="N34" s="8" t="n">
        <v>0.0433</v>
      </c>
      <c r="O34" s="8" t="n">
        <v>99.6447</v>
      </c>
      <c r="P34" s="8" t="n">
        <v>96.5226</v>
      </c>
      <c r="Q34" s="8" t="n">
        <v>3.4341</v>
      </c>
      <c r="R34" s="8" t="n">
        <v>0.9713000000000001</v>
      </c>
      <c r="S34" s="8" t="n">
        <v>1.73</v>
      </c>
      <c r="T34" s="8" t="n">
        <v>26.78</v>
      </c>
      <c r="U34" s="11" t="inlineStr">
        <is>
          <t>Rohit Tandon</t>
        </is>
      </c>
      <c r="V34" s="11" t="inlineStr"/>
      <c r="W34" s="8" t="n">
        <v>1.1</v>
      </c>
      <c r="X34" s="8" t="n">
        <v>0.63</v>
      </c>
    </row>
    <row r="35" ht="30" customHeight="1">
      <c r="A35" s="16" t="inlineStr">
        <is>
          <t>HSBC Flexi Cap Fund-Reg(G)</t>
        </is>
      </c>
      <c r="B35" s="14" t="inlineStr">
        <is>
          <t>Flexi Cap Fund</t>
        </is>
      </c>
      <c r="C35" s="16" t="inlineStr">
        <is>
          <t>NIFTY 500 - TRI</t>
        </is>
      </c>
      <c r="D35" s="14" t="n">
        <v>5278.8376</v>
      </c>
      <c r="E35" s="14" t="n">
        <v>22.1096</v>
      </c>
      <c r="F35" s="14" t="n">
        <v>-0.3305</v>
      </c>
      <c r="G35" s="14" t="n">
        <v>16.4617</v>
      </c>
      <c r="H35" s="14" t="n">
        <v>13.2826</v>
      </c>
      <c r="I35" s="14" t="n">
        <v>12.4937</v>
      </c>
      <c r="J35" s="14" t="n">
        <v>14.8836</v>
      </c>
      <c r="K35" s="14" t="n">
        <v>12.7029</v>
      </c>
      <c r="L35" s="14" t="n">
        <v>0.2823</v>
      </c>
      <c r="M35" s="14" t="n">
        <v>0.5022</v>
      </c>
      <c r="N35" s="14" t="n">
        <v>0.1188</v>
      </c>
      <c r="O35" s="14" t="n">
        <v>110.3097</v>
      </c>
      <c r="P35" s="14" t="n">
        <v>110.8384</v>
      </c>
      <c r="Q35" s="14" t="n">
        <v>4.1896</v>
      </c>
      <c r="R35" s="14" t="n">
        <v>1.0769</v>
      </c>
      <c r="S35" s="14" t="n">
        <v>1.93</v>
      </c>
      <c r="T35" s="14" t="n">
        <v>33</v>
      </c>
      <c r="U35" s="16" t="inlineStr">
        <is>
          <t>Abhishek Gupta</t>
        </is>
      </c>
      <c r="V35" s="16" t="inlineStr"/>
      <c r="W35" s="14" t="n">
        <v>0.73</v>
      </c>
      <c r="X35" s="14" t="n">
        <v>1.2</v>
      </c>
    </row>
    <row r="36" ht="30" customHeight="1">
      <c r="A36" s="11" t="inlineStr">
        <is>
          <t>ICICI Pru Flexicap Fund(G)</t>
        </is>
      </c>
      <c r="B36" s="8" t="inlineStr">
        <is>
          <t>Flexi Cap Fund</t>
        </is>
      </c>
      <c r="C36" s="11" t="inlineStr">
        <is>
          <t>BSE 500 - TRI</t>
        </is>
      </c>
      <c r="D36" s="8" t="n">
        <v>20437.4651</v>
      </c>
      <c r="E36" s="8" t="n">
        <v>4.6986</v>
      </c>
      <c r="F36" s="8" t="n">
        <v>3.1435</v>
      </c>
      <c r="G36" s="8" t="n">
        <v>16.7253</v>
      </c>
      <c r="H36" s="8" t="inlineStr"/>
      <c r="I36" s="8" t="inlineStr"/>
      <c r="J36" s="8" t="n">
        <v>20.2217</v>
      </c>
      <c r="K36" s="8" t="n">
        <v>22.4629</v>
      </c>
      <c r="L36" s="8" t="n">
        <v>0.3083</v>
      </c>
      <c r="M36" s="8" t="n">
        <v>0.5264</v>
      </c>
      <c r="N36" s="8" t="n">
        <v>0.2503</v>
      </c>
      <c r="O36" s="8" t="n">
        <v>120.581</v>
      </c>
      <c r="P36" s="8" t="n">
        <v>101.012</v>
      </c>
      <c r="Q36" s="8" t="n">
        <v>3.8086</v>
      </c>
      <c r="R36" s="8" t="n">
        <v>1.0342</v>
      </c>
      <c r="S36" s="8" t="n">
        <v>1.67</v>
      </c>
      <c r="T36" s="8" t="n">
        <v>21</v>
      </c>
      <c r="U36" s="11" t="inlineStr">
        <is>
          <t>Rajat Chandak</t>
        </is>
      </c>
      <c r="V36" s="11" t="inlineStr"/>
      <c r="W36" s="8" t="n">
        <v>0.89</v>
      </c>
      <c r="X36" s="8" t="n">
        <v>0.78</v>
      </c>
    </row>
    <row r="37" ht="30" customHeight="1">
      <c r="A37" s="16" t="inlineStr">
        <is>
          <t>ICICI Pru Smallcap Fund(G)</t>
        </is>
      </c>
      <c r="B37" s="14" t="inlineStr">
        <is>
          <t>Small cap Fund</t>
        </is>
      </c>
      <c r="C37" s="16" t="inlineStr">
        <is>
          <t>Nifty Smallcap 250 - TRI</t>
        </is>
      </c>
      <c r="D37" s="14" t="n">
        <v>8354.825699999999</v>
      </c>
      <c r="E37" s="14" t="n">
        <v>18.4603</v>
      </c>
      <c r="F37" s="14" t="n">
        <v>-1.2453</v>
      </c>
      <c r="G37" s="14" t="n">
        <v>13.7917</v>
      </c>
      <c r="H37" s="14" t="n">
        <v>16.0622</v>
      </c>
      <c r="I37" s="14" t="n">
        <v>15.046</v>
      </c>
      <c r="J37" s="14" t="n">
        <v>20.2539</v>
      </c>
      <c r="K37" s="14" t="n">
        <v>17.3376</v>
      </c>
      <c r="L37" s="14" t="n">
        <v>0.2342</v>
      </c>
      <c r="M37" s="14" t="n">
        <v>0.4419</v>
      </c>
      <c r="N37" s="14" t="n">
        <v>-0.2137</v>
      </c>
      <c r="O37" s="14" t="n">
        <v>73.9151</v>
      </c>
      <c r="P37" s="14" t="n">
        <v>71.5035</v>
      </c>
      <c r="Q37" s="14" t="n">
        <v>4.3857</v>
      </c>
      <c r="R37" s="14" t="n">
        <v>0.7423</v>
      </c>
      <c r="S37" s="14" t="n">
        <v>1.8</v>
      </c>
      <c r="T37" s="14" t="n">
        <v>50</v>
      </c>
      <c r="U37" s="16" t="inlineStr">
        <is>
          <t>Rajat Chandak</t>
        </is>
      </c>
      <c r="V37" s="16" t="inlineStr">
        <is>
          <t>Aatur Shah</t>
        </is>
      </c>
      <c r="W37" s="14" t="n">
        <v>1.01</v>
      </c>
      <c r="X37" s="14" t="n">
        <v>0.79</v>
      </c>
    </row>
    <row r="38" ht="30" customHeight="1">
      <c r="A38" s="11" t="inlineStr">
        <is>
          <t>DSP Flexi Cap Fund-Reg(IDCW)</t>
        </is>
      </c>
      <c r="B38" s="8" t="inlineStr">
        <is>
          <t>Flexi Cap Fund</t>
        </is>
      </c>
      <c r="C38" s="11" t="inlineStr">
        <is>
          <t>NIFTY 500 - TRI</t>
        </is>
      </c>
      <c r="D38" s="8" t="n">
        <v>12165.0611</v>
      </c>
      <c r="E38" s="8" t="n">
        <v>28.937</v>
      </c>
      <c r="F38" s="8" t="n">
        <v>-3.9873</v>
      </c>
      <c r="G38" s="8" t="n">
        <v>15.078</v>
      </c>
      <c r="H38" s="8" t="n">
        <v>11.3269</v>
      </c>
      <c r="I38" s="8" t="n">
        <v>13.4689</v>
      </c>
      <c r="J38" s="8" t="n">
        <v>14.8836</v>
      </c>
      <c r="K38" s="8" t="n">
        <v>12.7029</v>
      </c>
      <c r="L38" s="8" t="n">
        <v>0.2671</v>
      </c>
      <c r="M38" s="8" t="n">
        <v>0.4984</v>
      </c>
      <c r="N38" s="8" t="n">
        <v>0.0098</v>
      </c>
      <c r="O38" s="8" t="n">
        <v>100.6833</v>
      </c>
      <c r="P38" s="8" t="n">
        <v>101.2583</v>
      </c>
      <c r="Q38" s="8" t="n">
        <v>3.9331</v>
      </c>
      <c r="R38" s="8" t="n">
        <v>1.0128</v>
      </c>
      <c r="S38" s="8" t="n">
        <v>1.72</v>
      </c>
      <c r="T38" s="8" t="n">
        <v>25</v>
      </c>
      <c r="U38" s="11" t="inlineStr">
        <is>
          <t>Bhavin Gandhi</t>
        </is>
      </c>
      <c r="V38" s="11" t="inlineStr"/>
      <c r="W38" s="8" t="n">
        <v>1.03</v>
      </c>
      <c r="X38" s="8" t="n">
        <v>0.6899999999999999</v>
      </c>
    </row>
    <row r="39" ht="30" customHeight="1">
      <c r="A39" s="16" t="inlineStr">
        <is>
          <t>ITI Mid Cap Fund-Reg(G)</t>
        </is>
      </c>
      <c r="B39" s="14" t="inlineStr">
        <is>
          <t>Mid Cap Fund</t>
        </is>
      </c>
      <c r="C39" s="16" t="inlineStr">
        <is>
          <t>Nifty Midcap 150 - TRI</t>
        </is>
      </c>
      <c r="D39" s="14" t="n">
        <v>1325.0691</v>
      </c>
      <c r="E39" s="14" t="n">
        <v>5.0712</v>
      </c>
      <c r="F39" s="14" t="n">
        <v>2.1757</v>
      </c>
      <c r="G39" s="14" t="n">
        <v>22.2903</v>
      </c>
      <c r="H39" s="14" t="n">
        <v>14.7098</v>
      </c>
      <c r="I39" s="14" t="inlineStr"/>
      <c r="J39" s="14" t="n">
        <v>22.2915</v>
      </c>
      <c r="K39" s="14" t="n">
        <v>18.5983</v>
      </c>
      <c r="L39" s="14" t="n">
        <v>0.3415</v>
      </c>
      <c r="M39" s="14" t="n">
        <v>0.6345</v>
      </c>
      <c r="N39" s="14" t="n">
        <v>0.0077</v>
      </c>
      <c r="O39" s="14" t="n">
        <v>99.7248</v>
      </c>
      <c r="P39" s="14" t="n">
        <v>99.0547</v>
      </c>
      <c r="Q39" s="14" t="n">
        <v>4.7099</v>
      </c>
      <c r="R39" s="14" t="n">
        <v>0.9938</v>
      </c>
      <c r="S39" s="14" t="n">
        <v>1.99</v>
      </c>
      <c r="T39" s="14" t="n">
        <v>127</v>
      </c>
      <c r="U39" s="16" t="inlineStr">
        <is>
          <t>Rohan Korde</t>
        </is>
      </c>
      <c r="V39" s="16" t="inlineStr">
        <is>
          <t>Dhimant Shah</t>
        </is>
      </c>
      <c r="W39" s="14" t="n">
        <v>1.71</v>
      </c>
      <c r="X39" s="14" t="n">
        <v>0.28</v>
      </c>
    </row>
    <row r="40" ht="30" customHeight="1">
      <c r="A40" s="11" t="inlineStr">
        <is>
          <t>Franklin India Small Cap Fund(G)</t>
        </is>
      </c>
      <c r="B40" s="8" t="inlineStr">
        <is>
          <t>Small cap Fund</t>
        </is>
      </c>
      <c r="C40" s="11" t="inlineStr">
        <is>
          <t>Nifty Smallcap 250 - TRI</t>
        </is>
      </c>
      <c r="D40" s="8" t="n">
        <v>12934.4278</v>
      </c>
      <c r="E40" s="8" t="n">
        <v>20.2219</v>
      </c>
      <c r="F40" s="8" t="n">
        <v>-1.9749</v>
      </c>
      <c r="G40" s="8" t="n">
        <v>16.5143</v>
      </c>
      <c r="H40" s="8" t="n">
        <v>17.5515</v>
      </c>
      <c r="I40" s="8" t="n">
        <v>14.6933</v>
      </c>
      <c r="J40" s="8" t="n">
        <v>20.2539</v>
      </c>
      <c r="K40" s="8" t="n">
        <v>17.3376</v>
      </c>
      <c r="L40" s="8" t="n">
        <v>0.2345</v>
      </c>
      <c r="M40" s="8" t="n">
        <v>0.4225</v>
      </c>
      <c r="N40" s="8" t="n">
        <v>-0.1802</v>
      </c>
      <c r="O40" s="8" t="n">
        <v>85.0133</v>
      </c>
      <c r="P40" s="8" t="n">
        <v>85.76690000000001</v>
      </c>
      <c r="Q40" s="8" t="n">
        <v>5.0249</v>
      </c>
      <c r="R40" s="8" t="n">
        <v>0.8638</v>
      </c>
      <c r="S40" s="8" t="n">
        <v>1.75</v>
      </c>
      <c r="T40" s="8" t="n">
        <v>29.77</v>
      </c>
      <c r="U40" s="11" t="inlineStr">
        <is>
          <t>R. Janakiraman</t>
        </is>
      </c>
      <c r="V40" s="11" t="inlineStr">
        <is>
          <t>Akhil Kalluri</t>
        </is>
      </c>
      <c r="W40" s="8" t="n">
        <v>0.8100000000000001</v>
      </c>
      <c r="X40" s="8" t="n">
        <v>0.9399999999999999</v>
      </c>
    </row>
    <row r="41" ht="30" customHeight="1">
      <c r="A41" s="16" t="inlineStr">
        <is>
          <t>Invesco India Midcap Fund-Reg(G)</t>
        </is>
      </c>
      <c r="B41" s="14" t="inlineStr">
        <is>
          <t>Mid Cap Fund</t>
        </is>
      </c>
      <c r="C41" s="16" t="inlineStr">
        <is>
          <t>BSE 150 MidCap - TRI</t>
        </is>
      </c>
      <c r="D41" s="14" t="n">
        <v>10771.9009</v>
      </c>
      <c r="E41" s="14" t="n">
        <v>18.9589</v>
      </c>
      <c r="F41" s="14" t="n">
        <v>5.3737</v>
      </c>
      <c r="G41" s="14" t="n">
        <v>24.5368</v>
      </c>
      <c r="H41" s="14" t="n">
        <v>18.8484</v>
      </c>
      <c r="I41" s="14" t="n">
        <v>17.562</v>
      </c>
      <c r="J41" s="14" t="n">
        <v>27.8668</v>
      </c>
      <c r="K41" s="14" t="n">
        <v>29.6846</v>
      </c>
      <c r="L41" s="14" t="n">
        <v>0.3608</v>
      </c>
      <c r="M41" s="14" t="n">
        <v>0.6575</v>
      </c>
      <c r="N41" s="14" t="n">
        <v>0.3274</v>
      </c>
      <c r="O41" s="14" t="n">
        <v>154.6914</v>
      </c>
      <c r="P41" s="14" t="n">
        <v>109.6833</v>
      </c>
      <c r="Q41" s="14" t="n">
        <v>4.9562</v>
      </c>
      <c r="R41" s="14" t="n">
        <v>1.1696</v>
      </c>
      <c r="S41" s="14" t="n">
        <v>1.71</v>
      </c>
      <c r="T41" s="14" t="n">
        <v>31</v>
      </c>
      <c r="U41" s="16" t="inlineStr">
        <is>
          <t>Aditya Khemani</t>
        </is>
      </c>
      <c r="V41" s="16" t="inlineStr"/>
      <c r="W41" s="14" t="n">
        <v>1.17</v>
      </c>
      <c r="X41" s="14" t="n">
        <v>0.54</v>
      </c>
    </row>
    <row r="42" ht="30" customHeight="1">
      <c r="A42" s="11" t="inlineStr">
        <is>
          <t>Franklin India Mid Cap Fund(G)</t>
        </is>
      </c>
      <c r="B42" s="8" t="inlineStr">
        <is>
          <t>Mid Cap Fund</t>
        </is>
      </c>
      <c r="C42" s="11" t="inlineStr">
        <is>
          <t>Nifty Midcap 150 - TRI</t>
        </is>
      </c>
      <c r="D42" s="8" t="n">
        <v>12327.8717</v>
      </c>
      <c r="E42" s="8" t="n">
        <v>32.3479</v>
      </c>
      <c r="F42" s="8" t="n">
        <v>-2.5446</v>
      </c>
      <c r="G42" s="8" t="n">
        <v>19.4343</v>
      </c>
      <c r="H42" s="8" t="n">
        <v>14.7698</v>
      </c>
      <c r="I42" s="8" t="n">
        <v>14.3361</v>
      </c>
      <c r="J42" s="8" t="n">
        <v>22.2915</v>
      </c>
      <c r="K42" s="8" t="n">
        <v>18.5983</v>
      </c>
      <c r="L42" s="8" t="n">
        <v>0.3199</v>
      </c>
      <c r="M42" s="8" t="n">
        <v>0.5998</v>
      </c>
      <c r="N42" s="8" t="n">
        <v>-0.1364</v>
      </c>
      <c r="O42" s="8" t="n">
        <v>92.4426</v>
      </c>
      <c r="P42" s="8" t="n">
        <v>93.0673</v>
      </c>
      <c r="Q42" s="8" t="n">
        <v>4.3833</v>
      </c>
      <c r="R42" s="8" t="n">
        <v>0.9349</v>
      </c>
      <c r="S42" s="8" t="n">
        <v>1.77</v>
      </c>
      <c r="T42" s="8" t="n">
        <v>32.42</v>
      </c>
      <c r="U42" s="11" t="inlineStr">
        <is>
          <t>R. Janakiraman</t>
        </is>
      </c>
      <c r="V42" s="11" t="inlineStr">
        <is>
          <t>Akhil Kalluri</t>
        </is>
      </c>
      <c r="W42" s="8" t="n">
        <v>0.78</v>
      </c>
      <c r="X42" s="8" t="n">
        <v>0.99</v>
      </c>
    </row>
    <row r="43" ht="30" customHeight="1">
      <c r="A43" s="16" t="inlineStr">
        <is>
          <t>JM Midcap Fund-Reg(G)</t>
        </is>
      </c>
      <c r="B43" s="14" t="inlineStr">
        <is>
          <t>Mid Cap Fund</t>
        </is>
      </c>
      <c r="C43" s="16" t="inlineStr">
        <is>
          <t>Nifty Midcap 150 - TRI</t>
        </is>
      </c>
      <c r="D43" s="14" t="n">
        <v>1133.7631</v>
      </c>
      <c r="E43" s="14" t="n">
        <v>3.3562</v>
      </c>
      <c r="F43" s="14" t="n">
        <v>-0.8061</v>
      </c>
      <c r="G43" s="14" t="n">
        <v>21.264</v>
      </c>
      <c r="H43" s="14" t="inlineStr"/>
      <c r="I43" s="14" t="inlineStr"/>
      <c r="J43" s="14" t="n">
        <v>22.2915</v>
      </c>
      <c r="K43" s="14" t="n">
        <v>18.5983</v>
      </c>
      <c r="L43" s="14" t="n">
        <v>0.3168</v>
      </c>
      <c r="M43" s="14" t="n">
        <v>0.6246</v>
      </c>
      <c r="N43" s="14" t="n">
        <v>-0.0508</v>
      </c>
      <c r="O43" s="14" t="n">
        <v>96.9225</v>
      </c>
      <c r="P43" s="14" t="n">
        <v>100.3383</v>
      </c>
      <c r="Q43" s="14" t="n">
        <v>4.7781</v>
      </c>
      <c r="R43" s="14" t="n">
        <v>0.9797</v>
      </c>
      <c r="S43" s="14" t="n">
        <v>2.16</v>
      </c>
      <c r="T43" s="14" t="n">
        <v>117.48</v>
      </c>
      <c r="U43" s="16" t="inlineStr">
        <is>
          <t>Satish Ramanathan</t>
        </is>
      </c>
      <c r="V43" s="16" t="inlineStr">
        <is>
          <t>Asit Bhandarkar</t>
        </is>
      </c>
      <c r="W43" s="14" t="n">
        <v>1.46</v>
      </c>
      <c r="X43" s="14" t="n">
        <v>0.7</v>
      </c>
    </row>
    <row r="44" ht="30" customHeight="1">
      <c r="A44" s="11" t="inlineStr">
        <is>
          <t>Bandhan Flexi Cap Fund-Reg(G)</t>
        </is>
      </c>
      <c r="B44" s="8" t="inlineStr">
        <is>
          <t>Flexi Cap Fund</t>
        </is>
      </c>
      <c r="C44" s="11" t="inlineStr">
        <is>
          <t>BSE 500 - TRI</t>
        </is>
      </c>
      <c r="D44" s="8" t="n">
        <v>7427.2427</v>
      </c>
      <c r="E44" s="8" t="n">
        <v>20.5151</v>
      </c>
      <c r="F44" s="8" t="n">
        <v>-0.0539</v>
      </c>
      <c r="G44" s="8" t="n">
        <v>14.3634</v>
      </c>
      <c r="H44" s="8" t="n">
        <v>11.4609</v>
      </c>
      <c r="I44" s="8" t="n">
        <v>10.8523</v>
      </c>
      <c r="J44" s="8" t="n">
        <v>20.2217</v>
      </c>
      <c r="K44" s="8" t="n">
        <v>22.4629</v>
      </c>
      <c r="L44" s="8" t="n">
        <v>0.2834</v>
      </c>
      <c r="M44" s="8" t="n">
        <v>0.5135</v>
      </c>
      <c r="N44" s="8" t="n">
        <v>0.1738</v>
      </c>
      <c r="O44" s="8" t="n">
        <v>107.2315</v>
      </c>
      <c r="P44" s="8" t="n">
        <v>93.9513</v>
      </c>
      <c r="Q44" s="8" t="n">
        <v>3.403</v>
      </c>
      <c r="R44" s="8" t="n">
        <v>0.9634</v>
      </c>
      <c r="S44" s="8" t="n">
        <v>1.86</v>
      </c>
      <c r="T44" s="8" t="n">
        <v>121</v>
      </c>
      <c r="U44" s="11" t="inlineStr">
        <is>
          <t>Manish Gunwani</t>
        </is>
      </c>
      <c r="V44" s="11" t="inlineStr">
        <is>
          <t>Viraj Kulkarni</t>
        </is>
      </c>
      <c r="W44" s="8" t="n">
        <v>0.73</v>
      </c>
      <c r="X44" s="8" t="n">
        <v>1.13</v>
      </c>
    </row>
    <row r="45" ht="30" customHeight="1">
      <c r="A45" s="16" t="inlineStr">
        <is>
          <t>JM Flexicap Fund-Reg(G)</t>
        </is>
      </c>
      <c r="B45" s="14" t="inlineStr">
        <is>
          <t>Flexi Cap Fund</t>
        </is>
      </c>
      <c r="C45" s="16" t="inlineStr">
        <is>
          <t>BSE 500 - TRI</t>
        </is>
      </c>
      <c r="D45" s="14" t="n">
        <v>5158.7251</v>
      </c>
      <c r="E45" s="14" t="n">
        <v>17.526</v>
      </c>
      <c r="F45" s="14" t="n">
        <v>-6.6474</v>
      </c>
      <c r="G45" s="14" t="n">
        <v>17.3603</v>
      </c>
      <c r="H45" s="14" t="n">
        <v>15.221</v>
      </c>
      <c r="I45" s="14" t="n">
        <v>15.8673</v>
      </c>
      <c r="J45" s="14" t="n">
        <v>20.2217</v>
      </c>
      <c r="K45" s="14" t="n">
        <v>22.4629</v>
      </c>
      <c r="L45" s="14" t="n">
        <v>0.2818</v>
      </c>
      <c r="M45" s="14" t="n">
        <v>0.5263</v>
      </c>
      <c r="N45" s="14" t="n">
        <v>0.1825</v>
      </c>
      <c r="O45" s="14" t="n">
        <v>126.1915</v>
      </c>
      <c r="P45" s="14" t="n">
        <v>107.8424</v>
      </c>
      <c r="Q45" s="14" t="n">
        <v>4.4167</v>
      </c>
      <c r="R45" s="14" t="n">
        <v>1.0778</v>
      </c>
      <c r="S45" s="14" t="n">
        <v>1.84</v>
      </c>
      <c r="T45" s="14" t="n">
        <v>171.35</v>
      </c>
      <c r="U45" s="16" t="inlineStr">
        <is>
          <t>Satish Ramanathan</t>
        </is>
      </c>
      <c r="V45" s="16" t="inlineStr">
        <is>
          <t>Asit Bhandarkar</t>
        </is>
      </c>
      <c r="W45" s="14" t="n">
        <v>1.18</v>
      </c>
      <c r="X45" s="14" t="n">
        <v>0.66</v>
      </c>
    </row>
    <row r="46" ht="30" customHeight="1">
      <c r="A46" s="11" t="inlineStr">
        <is>
          <t>SBI Large Cap Fund-Reg(G)</t>
        </is>
      </c>
      <c r="B46" s="8" t="inlineStr">
        <is>
          <t>Large Cap Fund</t>
        </is>
      </c>
      <c r="C46" s="11" t="inlineStr">
        <is>
          <t>BSE 100 - TRI</t>
        </is>
      </c>
      <c r="D46" s="8" t="n">
        <v>55246.1886</v>
      </c>
      <c r="E46" s="8" t="n">
        <v>20.1342</v>
      </c>
      <c r="F46" s="8" t="n">
        <v>-1.2769</v>
      </c>
      <c r="G46" s="8" t="n">
        <v>12.2343</v>
      </c>
      <c r="H46" s="8" t="n">
        <v>10.8926</v>
      </c>
      <c r="I46" s="8" t="n">
        <v>11.9142</v>
      </c>
      <c r="J46" s="8" t="n">
        <v>18.9841</v>
      </c>
      <c r="K46" s="8" t="n">
        <v>21.0624</v>
      </c>
      <c r="L46" s="8" t="n">
        <v>0.2562</v>
      </c>
      <c r="M46" s="8" t="n">
        <v>0.4692</v>
      </c>
      <c r="N46" s="8" t="n">
        <v>0.0591</v>
      </c>
      <c r="O46" s="8" t="n">
        <v>95.9225</v>
      </c>
      <c r="P46" s="8" t="n">
        <v>85.455</v>
      </c>
      <c r="Q46" s="8" t="n">
        <v>3.2249</v>
      </c>
      <c r="R46" s="8" t="n">
        <v>0.9099</v>
      </c>
      <c r="S46" s="8" t="n">
        <v>1.47</v>
      </c>
      <c r="T46" s="8" t="n">
        <v>61</v>
      </c>
      <c r="U46" s="11" t="inlineStr">
        <is>
          <t>Saurabh Pant</t>
        </is>
      </c>
      <c r="V46" s="11" t="inlineStr"/>
      <c r="W46" s="8" t="n">
        <v>0.68</v>
      </c>
      <c r="X46" s="8" t="n">
        <v>0.79</v>
      </c>
    </row>
    <row r="47" ht="30" customHeight="1">
      <c r="A47" s="16" t="inlineStr">
        <is>
          <t>Franklin India Large Cap Fund(G)</t>
        </is>
      </c>
      <c r="B47" s="14" t="inlineStr">
        <is>
          <t>Large Cap Fund</t>
        </is>
      </c>
      <c r="C47" s="16" t="inlineStr">
        <is>
          <t>NIFTY 100 - TRI</t>
        </is>
      </c>
      <c r="D47" s="14" t="n">
        <v>7580.1858</v>
      </c>
      <c r="E47" s="14" t="n">
        <v>32.3479</v>
      </c>
      <c r="F47" s="14" t="n">
        <v>-0.9509</v>
      </c>
      <c r="G47" s="14" t="n">
        <v>12.7649</v>
      </c>
      <c r="H47" s="14" t="n">
        <v>9.8895</v>
      </c>
      <c r="I47" s="14" t="n">
        <v>10.7142</v>
      </c>
      <c r="J47" s="14" t="n">
        <v>12.7795</v>
      </c>
      <c r="K47" s="14" t="n">
        <v>11.0528</v>
      </c>
      <c r="L47" s="14" t="n">
        <v>0.2555</v>
      </c>
      <c r="M47" s="14" t="n">
        <v>0.4744</v>
      </c>
      <c r="N47" s="14" t="n">
        <v>-0.034</v>
      </c>
      <c r="O47" s="14" t="n">
        <v>96.2437</v>
      </c>
      <c r="P47" s="14" t="n">
        <v>93.97199999999999</v>
      </c>
      <c r="Q47" s="14" t="n">
        <v>3.3498</v>
      </c>
      <c r="R47" s="14" t="n">
        <v>0.9337</v>
      </c>
      <c r="S47" s="14" t="n">
        <v>1.86</v>
      </c>
      <c r="T47" s="14" t="n">
        <v>61.83</v>
      </c>
      <c r="U47" s="16" t="inlineStr">
        <is>
          <t>Venkatesh Sanjeevi</t>
        </is>
      </c>
      <c r="V47" s="16" t="inlineStr">
        <is>
          <t>Ajay Argal</t>
        </is>
      </c>
      <c r="W47" s="14" t="n">
        <v>0.72</v>
      </c>
      <c r="X47" s="14" t="n">
        <v>1.14</v>
      </c>
    </row>
    <row r="48" ht="30" customHeight="1">
      <c r="A48" s="11" t="inlineStr">
        <is>
          <t>Union Small Cap Fund-Reg(G)</t>
        </is>
      </c>
      <c r="B48" s="8" t="inlineStr">
        <is>
          <t>Small cap Fund</t>
        </is>
      </c>
      <c r="C48" s="11" t="inlineStr">
        <is>
          <t>BSE 250 Small Cap - TRI</t>
        </is>
      </c>
      <c r="D48" s="8" t="n">
        <v>1787.2467</v>
      </c>
      <c r="E48" s="8" t="n">
        <v>11.811</v>
      </c>
      <c r="F48" s="8" t="n">
        <v>7.7568</v>
      </c>
      <c r="G48" s="8" t="n">
        <v>19.1859</v>
      </c>
      <c r="H48" s="8" t="n">
        <v>17.4504</v>
      </c>
      <c r="I48" s="8" t="n">
        <v>15.2325</v>
      </c>
      <c r="J48" s="8" t="n">
        <v>26.9976</v>
      </c>
      <c r="K48" s="8" t="n">
        <v>31.2219</v>
      </c>
      <c r="L48" s="8" t="n">
        <v>0.2593</v>
      </c>
      <c r="M48" s="8" t="n">
        <v>0.4396</v>
      </c>
      <c r="N48" s="8" t="n">
        <v>0.0495</v>
      </c>
      <c r="O48" s="8" t="n">
        <v>92.9688</v>
      </c>
      <c r="P48" s="8" t="n">
        <v>80.8389</v>
      </c>
      <c r="Q48" s="8" t="n">
        <v>5.1891</v>
      </c>
      <c r="R48" s="8" t="n">
        <v>0.8811</v>
      </c>
      <c r="S48" s="8" t="n">
        <v>2.1</v>
      </c>
      <c r="T48" s="8" t="n">
        <v>51</v>
      </c>
      <c r="U48" s="11" t="inlineStr">
        <is>
          <t>Pratik Dharmshi</t>
        </is>
      </c>
      <c r="V48" s="11" t="inlineStr">
        <is>
          <t>Gaurav Chopra</t>
        </is>
      </c>
      <c r="W48" s="8" t="n">
        <v>1.07</v>
      </c>
      <c r="X48" s="8" t="n">
        <v>1.03</v>
      </c>
    </row>
    <row r="49" ht="30" customHeight="1">
      <c r="A49" s="16" t="inlineStr">
        <is>
          <t>Invesco India Flexi Cap Fund-Reg(G)</t>
        </is>
      </c>
      <c r="B49" s="14" t="inlineStr">
        <is>
          <t>Flexi Cap Fund</t>
        </is>
      </c>
      <c r="C49" s="16" t="inlineStr">
        <is>
          <t>BSE 500 - TRI</t>
        </is>
      </c>
      <c r="D49" s="14" t="n">
        <v>4679.8463</v>
      </c>
      <c r="E49" s="14" t="n">
        <v>4.1233</v>
      </c>
      <c r="F49" s="14" t="n">
        <v>-4.0925</v>
      </c>
      <c r="G49" s="14" t="n">
        <v>17.4738</v>
      </c>
      <c r="H49" s="14" t="inlineStr"/>
      <c r="I49" s="14" t="inlineStr"/>
      <c r="J49" s="14" t="n">
        <v>20.2217</v>
      </c>
      <c r="K49" s="14" t="n">
        <v>22.4629</v>
      </c>
      <c r="L49" s="14" t="n">
        <v>0.2844</v>
      </c>
      <c r="M49" s="14" t="n">
        <v>0.4878</v>
      </c>
      <c r="N49" s="14" t="n">
        <v>0.2002</v>
      </c>
      <c r="O49" s="14" t="n">
        <v>128.3056</v>
      </c>
      <c r="P49" s="14" t="n">
        <v>111.8907</v>
      </c>
      <c r="Q49" s="14" t="n">
        <v>4.3933</v>
      </c>
      <c r="R49" s="14" t="n">
        <v>1.1128</v>
      </c>
      <c r="S49" s="14" t="n">
        <v>1.84</v>
      </c>
      <c r="T49" s="14" t="n">
        <v>38</v>
      </c>
      <c r="U49" s="16" t="inlineStr">
        <is>
          <t>Taher Badshah</t>
        </is>
      </c>
      <c r="V49" s="16" t="inlineStr"/>
      <c r="W49" s="14" t="n">
        <v>1.32</v>
      </c>
      <c r="X49" s="14" t="n">
        <v>0.52</v>
      </c>
    </row>
    <row r="50" ht="30" customHeight="1">
      <c r="A50" s="11" t="inlineStr">
        <is>
          <t>Quant Flexi Cap Fund(G)</t>
        </is>
      </c>
      <c r="B50" s="8" t="inlineStr">
        <is>
          <t>Flexi Cap Fund</t>
        </is>
      </c>
      <c r="C50" s="11" t="inlineStr">
        <is>
          <t>NIFTY 500 - TRI</t>
        </is>
      </c>
      <c r="D50" s="8" t="n">
        <v>6353.9229</v>
      </c>
      <c r="E50" s="8" t="n">
        <v>17.526</v>
      </c>
      <c r="F50" s="8" t="n">
        <v>-1.8673</v>
      </c>
      <c r="G50" s="8" t="n">
        <v>16.1046</v>
      </c>
      <c r="H50" s="8" t="n">
        <v>17.9185</v>
      </c>
      <c r="I50" s="8" t="n">
        <v>18.3972</v>
      </c>
      <c r="J50" s="8" t="n">
        <v>14.8836</v>
      </c>
      <c r="K50" s="8" t="n">
        <v>12.7029</v>
      </c>
      <c r="L50" s="8" t="n">
        <v>0.2408</v>
      </c>
      <c r="M50" s="8" t="n">
        <v>0.4796</v>
      </c>
      <c r="N50" s="8" t="n">
        <v>0.0282</v>
      </c>
      <c r="O50" s="8" t="n">
        <v>111.3511</v>
      </c>
      <c r="P50" s="8" t="n">
        <v>123.1267</v>
      </c>
      <c r="Q50" s="8" t="n">
        <v>4.5693</v>
      </c>
      <c r="R50" s="8" t="n">
        <v>1.0854</v>
      </c>
      <c r="S50" s="8" t="n">
        <v>1.83</v>
      </c>
      <c r="T50" s="8" t="n">
        <v>283</v>
      </c>
      <c r="U50" s="11" t="inlineStr">
        <is>
          <t>Sandeep Tandon</t>
        </is>
      </c>
      <c r="V50" s="11" t="inlineStr">
        <is>
          <t>Ankit Pande</t>
        </is>
      </c>
      <c r="W50" s="8" t="n">
        <v>1.12</v>
      </c>
      <c r="X50" s="8" t="n">
        <v>0.71</v>
      </c>
    </row>
    <row r="51" ht="30" customHeight="1">
      <c r="A51" s="16" t="inlineStr">
        <is>
          <t>Mahindra Manulife Flexi Cap Fund-Reg(G)</t>
        </is>
      </c>
      <c r="B51" s="14" t="inlineStr">
        <is>
          <t>Flexi Cap Fund</t>
        </is>
      </c>
      <c r="C51" s="16" t="inlineStr">
        <is>
          <t>NIFTY 500 - TRI</t>
        </is>
      </c>
      <c r="D51" s="14" t="n">
        <v>1556.1088</v>
      </c>
      <c r="E51" s="14" t="n">
        <v>4.6027</v>
      </c>
      <c r="F51" s="14" t="n">
        <v>-2.8298</v>
      </c>
      <c r="G51" s="14" t="n">
        <v>13.6386</v>
      </c>
      <c r="H51" s="14" t="inlineStr"/>
      <c r="I51" s="14" t="inlineStr"/>
      <c r="J51" s="14" t="n">
        <v>14.8836</v>
      </c>
      <c r="K51" s="14" t="n">
        <v>12.7029</v>
      </c>
      <c r="L51" s="14" t="n">
        <v>0.2585</v>
      </c>
      <c r="M51" s="14" t="n">
        <v>0.4677</v>
      </c>
      <c r="N51" s="14" t="n">
        <v>-0.1263</v>
      </c>
      <c r="O51" s="14" t="n">
        <v>95.6126</v>
      </c>
      <c r="P51" s="14" t="n">
        <v>99.1358</v>
      </c>
      <c r="Q51" s="14" t="n">
        <v>3.6665</v>
      </c>
      <c r="R51" s="14" t="n">
        <v>0.9622000000000001</v>
      </c>
      <c r="S51" s="14" t="n">
        <v>2.07</v>
      </c>
      <c r="T51" s="14" t="n">
        <v>60</v>
      </c>
      <c r="U51" s="16" t="inlineStr">
        <is>
          <t>Fatema Pacha</t>
        </is>
      </c>
      <c r="V51" s="16" t="inlineStr">
        <is>
          <t>Neelesh Dhamnaskar</t>
        </is>
      </c>
      <c r="W51" s="14" t="n">
        <v>1.53</v>
      </c>
      <c r="X51" s="14" t="n">
        <v>0.54</v>
      </c>
    </row>
    <row r="52" ht="30" customHeight="1">
      <c r="A52" s="11" t="inlineStr">
        <is>
          <t>UTI Small Cap Fund-Reg(G)</t>
        </is>
      </c>
      <c r="B52" s="8" t="inlineStr">
        <is>
          <t>Small cap Fund</t>
        </is>
      </c>
      <c r="C52" s="11" t="inlineStr">
        <is>
          <t>Nifty Smallcap 250 - TRI</t>
        </is>
      </c>
      <c r="D52" s="8" t="n">
        <v>4546.6346</v>
      </c>
      <c r="E52" s="8" t="n">
        <v>5.2712</v>
      </c>
      <c r="F52" s="8" t="n">
        <v>-2.5528</v>
      </c>
      <c r="G52" s="8" t="n">
        <v>15.8084</v>
      </c>
      <c r="H52" s="8" t="n">
        <v>15.683</v>
      </c>
      <c r="I52" s="8" t="inlineStr"/>
      <c r="J52" s="8" t="n">
        <v>20.2539</v>
      </c>
      <c r="K52" s="8" t="n">
        <v>17.3376</v>
      </c>
      <c r="L52" s="8" t="n">
        <v>0.2264</v>
      </c>
      <c r="M52" s="8" t="n">
        <v>0.42</v>
      </c>
      <c r="N52" s="8" t="n">
        <v>-0.1954</v>
      </c>
      <c r="O52" s="8" t="n">
        <v>82.7518</v>
      </c>
      <c r="P52" s="8" t="n">
        <v>84.4372</v>
      </c>
      <c r="Q52" s="8" t="n">
        <v>4.9627</v>
      </c>
      <c r="R52" s="8" t="n">
        <v>0.8457</v>
      </c>
      <c r="S52" s="8" t="n">
        <v>1.86</v>
      </c>
      <c r="T52" s="8" t="n">
        <v>33</v>
      </c>
      <c r="U52" s="11" t="inlineStr">
        <is>
          <t>Nitin Jain</t>
        </is>
      </c>
      <c r="V52" s="11" t="inlineStr"/>
      <c r="W52" s="8" t="n">
        <v>1.21</v>
      </c>
      <c r="X52" s="8" t="n">
        <v>0.65</v>
      </c>
    </row>
    <row r="53" ht="30" customHeight="1">
      <c r="A53" s="16" t="inlineStr">
        <is>
          <t>Aditya Birla SL Large Cap Fund-Reg(G)</t>
        </is>
      </c>
      <c r="B53" s="14" t="inlineStr">
        <is>
          <t>Large Cap Fund</t>
        </is>
      </c>
      <c r="C53" s="16" t="inlineStr">
        <is>
          <t>NIFTY 100 - TRI</t>
        </is>
      </c>
      <c r="D53" s="14" t="n">
        <v>30094.3269</v>
      </c>
      <c r="E53" s="14" t="n">
        <v>23.5973</v>
      </c>
      <c r="F53" s="14" t="n">
        <v>-2.7237</v>
      </c>
      <c r="G53" s="14" t="n">
        <v>12.8521</v>
      </c>
      <c r="H53" s="14" t="n">
        <v>11.4268</v>
      </c>
      <c r="I53" s="14" t="n">
        <v>11.8946</v>
      </c>
      <c r="J53" s="14" t="n">
        <v>12.7795</v>
      </c>
      <c r="K53" s="14" t="n">
        <v>11.0528</v>
      </c>
      <c r="L53" s="14" t="n">
        <v>0.2548</v>
      </c>
      <c r="M53" s="14" t="n">
        <v>0.4559</v>
      </c>
      <c r="N53" s="14" t="n">
        <v>-0.0073</v>
      </c>
      <c r="O53" s="14" t="n">
        <v>99.00449999999999</v>
      </c>
      <c r="P53" s="14" t="n">
        <v>98.0313</v>
      </c>
      <c r="Q53" s="14" t="n">
        <v>3.4493</v>
      </c>
      <c r="R53" s="14" t="n">
        <v>0.9757</v>
      </c>
      <c r="S53" s="14" t="n">
        <v>1.63</v>
      </c>
      <c r="T53" s="14" t="n">
        <v>52</v>
      </c>
      <c r="U53" s="16" t="inlineStr">
        <is>
          <t>Harish krishnan</t>
        </is>
      </c>
      <c r="V53" s="16" t="inlineStr"/>
      <c r="W53" s="14" t="n">
        <v>0.66</v>
      </c>
      <c r="X53" s="14" t="n">
        <v>0.97</v>
      </c>
    </row>
    <row r="54" ht="30" customHeight="1">
      <c r="A54" s="11" t="inlineStr">
        <is>
          <t>Canara Rob Large Cap Fund-Reg(G)</t>
        </is>
      </c>
      <c r="B54" s="8" t="inlineStr">
        <is>
          <t>Large Cap Fund</t>
        </is>
      </c>
      <c r="C54" s="11" t="inlineStr">
        <is>
          <t>BSE 100 - TRI</t>
        </is>
      </c>
      <c r="D54" s="8" t="n">
        <v>17103.6242</v>
      </c>
      <c r="E54" s="8" t="n">
        <v>15.6192</v>
      </c>
      <c r="F54" s="8" t="n">
        <v>-3.8669</v>
      </c>
      <c r="G54" s="8" t="n">
        <v>12.6606</v>
      </c>
      <c r="H54" s="8" t="n">
        <v>10.4156</v>
      </c>
      <c r="I54" s="8" t="n">
        <v>13.2506</v>
      </c>
      <c r="J54" s="8" t="n">
        <v>18.9841</v>
      </c>
      <c r="K54" s="8" t="n">
        <v>21.0624</v>
      </c>
      <c r="L54" s="8" t="n">
        <v>0.2573</v>
      </c>
      <c r="M54" s="8" t="n">
        <v>0.4685</v>
      </c>
      <c r="N54" s="8" t="n">
        <v>0.1595</v>
      </c>
      <c r="O54" s="8" t="n">
        <v>99.4746</v>
      </c>
      <c r="P54" s="8" t="n">
        <v>90.4148</v>
      </c>
      <c r="Q54" s="8" t="n">
        <v>3.3324</v>
      </c>
      <c r="R54" s="8" t="n">
        <v>0.9552</v>
      </c>
      <c r="S54" s="8" t="n">
        <v>1.65</v>
      </c>
      <c r="T54" s="8" t="n">
        <v>15</v>
      </c>
      <c r="U54" s="11" t="inlineStr">
        <is>
          <t>Shridatta Bhandwaldar</t>
        </is>
      </c>
      <c r="V54" s="11" t="inlineStr">
        <is>
          <t>Vishal Mishra</t>
        </is>
      </c>
      <c r="W54" s="8" t="n">
        <v>1.13</v>
      </c>
      <c r="X54" s="8" t="n">
        <v>0.52</v>
      </c>
    </row>
    <row r="55" ht="30" customHeight="1">
      <c r="A55" s="16" t="inlineStr">
        <is>
          <t>Nippon India Flexi Cap Fund-Reg(G)</t>
        </is>
      </c>
      <c r="B55" s="14" t="inlineStr">
        <is>
          <t>Flexi Cap Fund</t>
        </is>
      </c>
      <c r="C55" s="16" t="inlineStr">
        <is>
          <t>NIFTY 500 - TRI</t>
        </is>
      </c>
      <c r="D55" s="14" t="n">
        <v>9298.4498</v>
      </c>
      <c r="E55" s="14" t="n">
        <v>4.6301</v>
      </c>
      <c r="F55" s="14" t="n">
        <v>-3.1184</v>
      </c>
      <c r="G55" s="14" t="n">
        <v>13.8012</v>
      </c>
      <c r="H55" s="14" t="inlineStr"/>
      <c r="I55" s="14" t="inlineStr"/>
      <c r="J55" s="14" t="n">
        <v>14.8836</v>
      </c>
      <c r="K55" s="14" t="n">
        <v>12.7029</v>
      </c>
      <c r="L55" s="14" t="n">
        <v>0.2508</v>
      </c>
      <c r="M55" s="14" t="n">
        <v>0.4502</v>
      </c>
      <c r="N55" s="14" t="n">
        <v>-0.0733</v>
      </c>
      <c r="O55" s="14" t="n">
        <v>98.1206</v>
      </c>
      <c r="P55" s="14" t="n">
        <v>103.0348</v>
      </c>
      <c r="Q55" s="14" t="n">
        <v>3.8835</v>
      </c>
      <c r="R55" s="14" t="n">
        <v>1.0109</v>
      </c>
      <c r="S55" s="14" t="n">
        <v>1.73</v>
      </c>
      <c r="T55" s="14" t="n">
        <v>30</v>
      </c>
      <c r="U55" s="16" t="inlineStr">
        <is>
          <t>Meenakshi Dawar</t>
        </is>
      </c>
      <c r="V55" s="16" t="inlineStr">
        <is>
          <t>Dhrumil Shah</t>
        </is>
      </c>
      <c r="W55" s="14" t="n">
        <v>1.28</v>
      </c>
      <c r="X55" s="14" t="n">
        <v>0.45</v>
      </c>
    </row>
    <row r="56" ht="30" customHeight="1">
      <c r="A56" s="11" t="inlineStr">
        <is>
          <t>Mirae Asset Midcap Fund-Reg(G)</t>
        </is>
      </c>
      <c r="B56" s="8" t="inlineStr">
        <is>
          <t>Mid Cap Fund</t>
        </is>
      </c>
      <c r="C56" s="11" t="inlineStr">
        <is>
          <t>Nifty Midcap 150 - TRI</t>
        </is>
      </c>
      <c r="D56" s="8" t="n">
        <v>18070.3025</v>
      </c>
      <c r="E56" s="8" t="n">
        <v>6.674</v>
      </c>
      <c r="F56" s="8" t="n">
        <v>7.5351</v>
      </c>
      <c r="G56" s="8" t="n">
        <v>19.2583</v>
      </c>
      <c r="H56" s="8" t="n">
        <v>16.411</v>
      </c>
      <c r="I56" s="8" t="inlineStr"/>
      <c r="J56" s="8" t="n">
        <v>22.2915</v>
      </c>
      <c r="K56" s="8" t="n">
        <v>18.5983</v>
      </c>
      <c r="L56" s="8" t="n">
        <v>0.3082</v>
      </c>
      <c r="M56" s="8" t="n">
        <v>0.5619</v>
      </c>
      <c r="N56" s="8" t="n">
        <v>-0.2243</v>
      </c>
      <c r="O56" s="8" t="n">
        <v>93.92959999999999</v>
      </c>
      <c r="P56" s="8" t="n">
        <v>102.1622</v>
      </c>
      <c r="Q56" s="8" t="n">
        <v>4.5184</v>
      </c>
      <c r="R56" s="8" t="n">
        <v>0.969</v>
      </c>
      <c r="S56" s="8" t="n">
        <v>1.65</v>
      </c>
      <c r="T56" s="8" t="n">
        <v>111</v>
      </c>
      <c r="U56" s="11" t="inlineStr">
        <is>
          <t>Ankit Jain</t>
        </is>
      </c>
      <c r="V56" s="11" t="inlineStr"/>
      <c r="W56" s="8" t="n">
        <v>1.09</v>
      </c>
      <c r="X56" s="8" t="n">
        <v>0.5600000000000001</v>
      </c>
    </row>
    <row r="57" ht="30" customHeight="1">
      <c r="A57" s="16" t="inlineStr">
        <is>
          <t>DSP Midcap Fund-Reg(G)</t>
        </is>
      </c>
      <c r="B57" s="14" t="inlineStr">
        <is>
          <t>Mid Cap Fund</t>
        </is>
      </c>
      <c r="C57" s="16" t="inlineStr">
        <is>
          <t>Nifty Midcap 150 - TRI</t>
        </is>
      </c>
      <c r="D57" s="14" t="n">
        <v>19640.7513</v>
      </c>
      <c r="E57" s="14" t="n">
        <v>19.3863</v>
      </c>
      <c r="F57" s="14" t="n">
        <v>3.8104</v>
      </c>
      <c r="G57" s="14" t="n">
        <v>19.0066</v>
      </c>
      <c r="H57" s="14" t="n">
        <v>12.6132</v>
      </c>
      <c r="I57" s="14" t="n">
        <v>14.6168</v>
      </c>
      <c r="J57" s="14" t="n">
        <v>22.2915</v>
      </c>
      <c r="K57" s="14" t="n">
        <v>18.5983</v>
      </c>
      <c r="L57" s="14" t="n">
        <v>0.3012</v>
      </c>
      <c r="M57" s="14" t="n">
        <v>0.5697</v>
      </c>
      <c r="N57" s="14" t="n">
        <v>-0.1601</v>
      </c>
      <c r="O57" s="14" t="n">
        <v>91.0313</v>
      </c>
      <c r="P57" s="14" t="n">
        <v>95.9663</v>
      </c>
      <c r="Q57" s="14" t="n">
        <v>4.5924</v>
      </c>
      <c r="R57" s="14" t="n">
        <v>0.962</v>
      </c>
      <c r="S57" s="14" t="n">
        <v>1.67</v>
      </c>
      <c r="T57" s="14" t="n">
        <v>25</v>
      </c>
      <c r="U57" s="16" t="inlineStr">
        <is>
          <t>Vinit Sambre</t>
        </is>
      </c>
      <c r="V57" s="16" t="inlineStr">
        <is>
          <t>Abhishek Ghosh</t>
        </is>
      </c>
      <c r="W57" s="14" t="n">
        <v>0.9399999999999999</v>
      </c>
      <c r="X57" s="14" t="n">
        <v>0.73</v>
      </c>
    </row>
    <row r="58" ht="30" customHeight="1">
      <c r="A58" s="11" t="inlineStr">
        <is>
          <t>Canara Rob Small Cap Fund-Reg(G)</t>
        </is>
      </c>
      <c r="B58" s="8" t="inlineStr">
        <is>
          <t>Small cap Fund</t>
        </is>
      </c>
      <c r="C58" s="11" t="inlineStr">
        <is>
          <t>Nifty Smallcap 250 - TRI</t>
        </is>
      </c>
      <c r="D58" s="8" t="n">
        <v>12768.6171</v>
      </c>
      <c r="E58" s="8" t="n">
        <v>7.1233</v>
      </c>
      <c r="F58" s="8" t="n">
        <v>-0.8408</v>
      </c>
      <c r="G58" s="8" t="n">
        <v>14.1745</v>
      </c>
      <c r="H58" s="8" t="n">
        <v>17.6489</v>
      </c>
      <c r="I58" s="8" t="inlineStr"/>
      <c r="J58" s="8" t="n">
        <v>20.2539</v>
      </c>
      <c r="K58" s="8" t="n">
        <v>17.3376</v>
      </c>
      <c r="L58" s="8" t="n">
        <v>0.2142</v>
      </c>
      <c r="M58" s="8" t="n">
        <v>0.3694</v>
      </c>
      <c r="N58" s="8" t="n">
        <v>-0.2797</v>
      </c>
      <c r="O58" s="8" t="n">
        <v>78.158</v>
      </c>
      <c r="P58" s="8" t="n">
        <v>81.624</v>
      </c>
      <c r="Q58" s="8" t="n">
        <v>4.7205</v>
      </c>
      <c r="R58" s="8" t="n">
        <v>0.8139999999999999</v>
      </c>
      <c r="S58" s="8" t="n">
        <v>1.7</v>
      </c>
      <c r="T58" s="8" t="n">
        <v>28</v>
      </c>
      <c r="U58" s="11" t="inlineStr">
        <is>
          <t>Pranav Gokhale</t>
        </is>
      </c>
      <c r="V58" s="11" t="inlineStr">
        <is>
          <t>Shridatta Bhandwaldar</t>
        </is>
      </c>
      <c r="W58" s="8" t="n">
        <v>1.15</v>
      </c>
      <c r="X58" s="8" t="n">
        <v>0.55</v>
      </c>
    </row>
    <row r="59" ht="30" customHeight="1">
      <c r="A59" s="16" t="inlineStr">
        <is>
          <t>Canara Rob Flexi Cap Fund-Reg(G)</t>
        </is>
      </c>
      <c r="B59" s="14" t="inlineStr">
        <is>
          <t>Flexi Cap Fund</t>
        </is>
      </c>
      <c r="C59" s="16" t="inlineStr">
        <is>
          <t>BSE 500 - TRI</t>
        </is>
      </c>
      <c r="D59" s="14" t="n">
        <v>13389.8922</v>
      </c>
      <c r="E59" s="14" t="n">
        <v>22.5507</v>
      </c>
      <c r="F59" s="14" t="n">
        <v>-0.9604</v>
      </c>
      <c r="G59" s="14" t="n">
        <v>13.2773</v>
      </c>
      <c r="H59" s="14" t="n">
        <v>11.2213</v>
      </c>
      <c r="I59" s="14" t="n">
        <v>13.6695</v>
      </c>
      <c r="J59" s="14" t="n">
        <v>20.2217</v>
      </c>
      <c r="K59" s="14" t="n">
        <v>22.4629</v>
      </c>
      <c r="L59" s="14" t="n">
        <v>0.257</v>
      </c>
      <c r="M59" s="14" t="n">
        <v>0.4657</v>
      </c>
      <c r="N59" s="14" t="n">
        <v>0.0018</v>
      </c>
      <c r="O59" s="14" t="n">
        <v>95.926</v>
      </c>
      <c r="P59" s="14" t="n">
        <v>90.67400000000001</v>
      </c>
      <c r="Q59" s="14" t="n">
        <v>3.5653</v>
      </c>
      <c r="R59" s="14" t="n">
        <v>0.9444</v>
      </c>
      <c r="S59" s="14" t="n">
        <v>1.69</v>
      </c>
      <c r="T59" s="14" t="n">
        <v>22</v>
      </c>
      <c r="U59" s="16" t="inlineStr">
        <is>
          <t>Shridatta Bhandwaldar</t>
        </is>
      </c>
      <c r="V59" s="16" t="inlineStr">
        <is>
          <t>Pranav Gokhale</t>
        </is>
      </c>
      <c r="W59" s="14" t="n">
        <v>1.13</v>
      </c>
      <c r="X59" s="14" t="n">
        <v>0.5600000000000001</v>
      </c>
    </row>
    <row r="60" ht="30" customHeight="1">
      <c r="A60" s="11" t="inlineStr">
        <is>
          <t>Sundaram Flexi Cap Fund-Reg(G)</t>
        </is>
      </c>
      <c r="B60" s="8" t="inlineStr">
        <is>
          <t>Flexi Cap Fund</t>
        </is>
      </c>
      <c r="C60" s="11" t="inlineStr">
        <is>
          <t>NIFTY 500 - TRI</t>
        </is>
      </c>
      <c r="D60" s="8" t="n">
        <v>2058.6986</v>
      </c>
      <c r="E60" s="8" t="n">
        <v>3.5644</v>
      </c>
      <c r="F60" s="8" t="n">
        <v>-1.8111</v>
      </c>
      <c r="G60" s="8" t="n">
        <v>12.6457</v>
      </c>
      <c r="H60" s="8" t="inlineStr"/>
      <c r="I60" s="8" t="inlineStr"/>
      <c r="J60" s="8" t="n">
        <v>14.8836</v>
      </c>
      <c r="K60" s="8" t="n">
        <v>12.7029</v>
      </c>
      <c r="L60" s="8" t="n">
        <v>0.2463</v>
      </c>
      <c r="M60" s="8" t="n">
        <v>0.4361</v>
      </c>
      <c r="N60" s="8" t="n">
        <v>-0.2059</v>
      </c>
      <c r="O60" s="8" t="n">
        <v>87.41330000000001</v>
      </c>
      <c r="P60" s="8" t="n">
        <v>89.3206</v>
      </c>
      <c r="Q60" s="8" t="n">
        <v>3.4617</v>
      </c>
      <c r="R60" s="8" t="n">
        <v>0.8994</v>
      </c>
      <c r="S60" s="8" t="n">
        <v>2.04</v>
      </c>
      <c r="T60" s="8" t="n">
        <v>46.7</v>
      </c>
      <c r="U60" s="11" t="inlineStr">
        <is>
          <t>S. Bharath</t>
        </is>
      </c>
      <c r="V60" s="11" t="inlineStr">
        <is>
          <t>Dwijendra Srivastava</t>
        </is>
      </c>
      <c r="W60" s="8" t="n">
        <v>1.34</v>
      </c>
      <c r="X60" s="8" t="n">
        <v>0.7</v>
      </c>
    </row>
    <row r="61" ht="30" customHeight="1">
      <c r="A61" s="16" t="inlineStr">
        <is>
          <t>Canara Rob Mid Cap Fund-Reg(G)</t>
        </is>
      </c>
      <c r="B61" s="14" t="inlineStr">
        <is>
          <t>Mid Cap Fund</t>
        </is>
      </c>
      <c r="C61" s="16" t="inlineStr">
        <is>
          <t>BSE 150 MidCap - TRI</t>
        </is>
      </c>
      <c r="D61" s="14" t="n">
        <v>4198.9201</v>
      </c>
      <c r="E61" s="14" t="n">
        <v>3.326</v>
      </c>
      <c r="F61" s="14" t="n">
        <v>4.6123</v>
      </c>
      <c r="G61" s="14" t="n">
        <v>18.5027</v>
      </c>
      <c r="H61" s="14" t="inlineStr"/>
      <c r="I61" s="14" t="inlineStr"/>
      <c r="J61" s="14" t="n">
        <v>27.8668</v>
      </c>
      <c r="K61" s="14" t="n">
        <v>29.6846</v>
      </c>
      <c r="L61" s="14" t="n">
        <v>0.3021</v>
      </c>
      <c r="M61" s="14" t="n">
        <v>0.5671</v>
      </c>
      <c r="N61" s="14" t="n">
        <v>-0.0798</v>
      </c>
      <c r="O61" s="14" t="n">
        <v>92.23090000000001</v>
      </c>
      <c r="P61" s="14" t="n">
        <v>90.2727</v>
      </c>
      <c r="Q61" s="14" t="n">
        <v>4.4699</v>
      </c>
      <c r="R61" s="14" t="n">
        <v>0.9444</v>
      </c>
      <c r="S61" s="14" t="n">
        <v>1.88</v>
      </c>
      <c r="T61" s="14" t="n">
        <v>44</v>
      </c>
      <c r="U61" s="16" t="inlineStr">
        <is>
          <t>Pranav Gokhale</t>
        </is>
      </c>
      <c r="V61" s="16" t="inlineStr">
        <is>
          <t>Shridatta Bhandwaldar</t>
        </is>
      </c>
      <c r="W61" s="14" t="n">
        <v>1.26</v>
      </c>
      <c r="X61" s="14" t="n">
        <v>0.62</v>
      </c>
    </row>
    <row r="62" ht="30" customHeight="1">
      <c r="A62" s="11" t="inlineStr">
        <is>
          <t>SBI Midcap Fund-Reg(G)</t>
        </is>
      </c>
      <c r="B62" s="8" t="inlineStr">
        <is>
          <t>Mid Cap Fund</t>
        </is>
      </c>
      <c r="C62" s="11" t="inlineStr">
        <is>
          <t>Nifty Midcap 150 - TRI</t>
        </is>
      </c>
      <c r="D62" s="8" t="n">
        <v>23154.2336</v>
      </c>
      <c r="E62" s="8" t="n">
        <v>21.0164</v>
      </c>
      <c r="F62" s="8" t="n">
        <v>-3.6192</v>
      </c>
      <c r="G62" s="8" t="n">
        <v>14.9808</v>
      </c>
      <c r="H62" s="8" t="n">
        <v>14.8956</v>
      </c>
      <c r="I62" s="8" t="n">
        <v>13.8732</v>
      </c>
      <c r="J62" s="8" t="n">
        <v>22.2915</v>
      </c>
      <c r="K62" s="8" t="n">
        <v>18.5983</v>
      </c>
      <c r="L62" s="8" t="n">
        <v>0.266</v>
      </c>
      <c r="M62" s="8" t="n">
        <v>0.5069</v>
      </c>
      <c r="N62" s="8" t="n">
        <v>-0.3476</v>
      </c>
      <c r="O62" s="8" t="n">
        <v>76.6477</v>
      </c>
      <c r="P62" s="8" t="n">
        <v>86.5535</v>
      </c>
      <c r="Q62" s="8" t="n">
        <v>3.8978</v>
      </c>
      <c r="R62" s="8" t="n">
        <v>0.8033</v>
      </c>
      <c r="S62" s="8" t="n">
        <v>1.66</v>
      </c>
      <c r="T62" s="8" t="n">
        <v>69</v>
      </c>
      <c r="U62" s="11" t="inlineStr">
        <is>
          <t>Bhavin Vithlani</t>
        </is>
      </c>
      <c r="V62" s="11" t="inlineStr"/>
      <c r="W62" s="8" t="n">
        <v>0.8</v>
      </c>
      <c r="X62" s="8" t="n">
        <v>0.86</v>
      </c>
    </row>
    <row r="63" ht="30" customHeight="1">
      <c r="A63" s="16" t="inlineStr">
        <is>
          <t>Tata Large Cap Fund-Reg(G)</t>
        </is>
      </c>
      <c r="B63" s="14" t="inlineStr">
        <is>
          <t>Large Cap Fund</t>
        </is>
      </c>
      <c r="C63" s="16" t="inlineStr">
        <is>
          <t>NIFTY 100 - TRI</t>
        </is>
      </c>
      <c r="D63" s="14" t="n">
        <v>2783.6029</v>
      </c>
      <c r="E63" s="14" t="n">
        <v>27.9151</v>
      </c>
      <c r="F63" s="14" t="n">
        <v>-2.4349</v>
      </c>
      <c r="G63" s="14" t="n">
        <v>12.791</v>
      </c>
      <c r="H63" s="14" t="n">
        <v>11.3324</v>
      </c>
      <c r="I63" s="14" t="n">
        <v>11.5213</v>
      </c>
      <c r="J63" s="14" t="n">
        <v>12.7795</v>
      </c>
      <c r="K63" s="14" t="n">
        <v>11.0528</v>
      </c>
      <c r="L63" s="14" t="n">
        <v>0.2528</v>
      </c>
      <c r="M63" s="14" t="n">
        <v>0.4588</v>
      </c>
      <c r="N63" s="14" t="n">
        <v>0.0015</v>
      </c>
      <c r="O63" s="14" t="n">
        <v>99.3977</v>
      </c>
      <c r="P63" s="14" t="n">
        <v>98.54819999999999</v>
      </c>
      <c r="Q63" s="14" t="n">
        <v>3.4949</v>
      </c>
      <c r="R63" s="14" t="n">
        <v>0.9861</v>
      </c>
      <c r="S63" s="14" t="n">
        <v>1.99</v>
      </c>
      <c r="T63" s="14" t="n">
        <v>44.29</v>
      </c>
      <c r="U63" s="16" t="inlineStr">
        <is>
          <t>Abhinav Sharma</t>
        </is>
      </c>
      <c r="V63" s="16" t="inlineStr">
        <is>
          <t>Hasmukh Vishariya</t>
        </is>
      </c>
      <c r="W63" s="14" t="n">
        <v>1.02</v>
      </c>
      <c r="X63" s="14" t="n">
        <v>0.97</v>
      </c>
    </row>
    <row r="64" ht="30" customHeight="1">
      <c r="A64" s="11" t="inlineStr">
        <is>
          <t>Baroda BNP Paribas Flexi Cap Fund-Reg(G)</t>
        </is>
      </c>
      <c r="B64" s="8" t="inlineStr">
        <is>
          <t>Flexi Cap Fund</t>
        </is>
      </c>
      <c r="C64" s="11" t="inlineStr">
        <is>
          <t>NIFTY 500 - TRI</t>
        </is>
      </c>
      <c r="D64" s="8" t="n">
        <v>1226.4362</v>
      </c>
      <c r="E64" s="8" t="n">
        <v>3.6192</v>
      </c>
      <c r="F64" s="8" t="n">
        <v>-1.4007</v>
      </c>
      <c r="G64" s="8" t="n">
        <v>14.4222</v>
      </c>
      <c r="H64" s="8" t="inlineStr"/>
      <c r="I64" s="8" t="inlineStr"/>
      <c r="J64" s="8" t="n">
        <v>14.8836</v>
      </c>
      <c r="K64" s="8" t="n">
        <v>12.7029</v>
      </c>
      <c r="L64" s="8" t="n">
        <v>0.2489</v>
      </c>
      <c r="M64" s="8" t="n">
        <v>0.4337</v>
      </c>
      <c r="N64" s="8" t="n">
        <v>-0.0551</v>
      </c>
      <c r="O64" s="8" t="n">
        <v>100.8909</v>
      </c>
      <c r="P64" s="8" t="n">
        <v>108.9055</v>
      </c>
      <c r="Q64" s="8" t="n">
        <v>3.9413</v>
      </c>
      <c r="R64" s="8" t="n">
        <v>1.015</v>
      </c>
      <c r="S64" s="8" t="n">
        <v>2.18</v>
      </c>
      <c r="T64" s="8" t="n">
        <v>87</v>
      </c>
      <c r="U64" s="11" t="inlineStr">
        <is>
          <t>Sanjay Chawla</t>
        </is>
      </c>
      <c r="V64" s="11" t="inlineStr">
        <is>
          <t>Kirtan Mehta</t>
        </is>
      </c>
      <c r="W64" s="8" t="n">
        <v>1.17</v>
      </c>
      <c r="X64" s="8" t="n">
        <v>1.01</v>
      </c>
    </row>
    <row r="65" ht="30" customHeight="1">
      <c r="A65" s="16" t="inlineStr">
        <is>
          <t>Axis Flexi Cap Fund-Reg(G)</t>
        </is>
      </c>
      <c r="B65" s="14" t="inlineStr">
        <is>
          <t>Flexi Cap Fund</t>
        </is>
      </c>
      <c r="C65" s="16" t="inlineStr">
        <is>
          <t>NIFTY 500 - TRI</t>
        </is>
      </c>
      <c r="D65" s="14" t="n">
        <v>12871.3988</v>
      </c>
      <c r="E65" s="14" t="n">
        <v>8.369899999999999</v>
      </c>
      <c r="F65" s="14" t="n">
        <v>-1.8367</v>
      </c>
      <c r="G65" s="14" t="n">
        <v>13.5295</v>
      </c>
      <c r="H65" s="14" t="n">
        <v>9.428000000000001</v>
      </c>
      <c r="I65" s="14" t="inlineStr"/>
      <c r="J65" s="14" t="n">
        <v>14.8836</v>
      </c>
      <c r="K65" s="14" t="n">
        <v>12.7029</v>
      </c>
      <c r="L65" s="14" t="n">
        <v>0.2388</v>
      </c>
      <c r="M65" s="14" t="n">
        <v>0.4367</v>
      </c>
      <c r="N65" s="14" t="n">
        <v>-0.0871</v>
      </c>
      <c r="O65" s="14" t="n">
        <v>95.6066</v>
      </c>
      <c r="P65" s="14" t="n">
        <v>101.5424</v>
      </c>
      <c r="Q65" s="14" t="n">
        <v>3.8503</v>
      </c>
      <c r="R65" s="14" t="n">
        <v>0.9782999999999999</v>
      </c>
      <c r="S65" s="14" t="n">
        <v>1.72</v>
      </c>
      <c r="T65" s="14" t="n">
        <v>23</v>
      </c>
      <c r="U65" s="16" t="inlineStr">
        <is>
          <t>Sachin Relekar</t>
        </is>
      </c>
      <c r="V65" s="16" t="inlineStr">
        <is>
          <t>Krishnaa N</t>
        </is>
      </c>
      <c r="W65" s="14" t="n">
        <v>1</v>
      </c>
      <c r="X65" s="14" t="n">
        <v>0.72</v>
      </c>
    </row>
    <row r="66" ht="30" customHeight="1">
      <c r="A66" s="11" t="inlineStr">
        <is>
          <t>Union Midcap Fund-Reg(G)</t>
        </is>
      </c>
      <c r="B66" s="8" t="inlineStr">
        <is>
          <t>Mid Cap Fund</t>
        </is>
      </c>
      <c r="C66" s="11" t="inlineStr">
        <is>
          <t>BSE 150 MidCap - TRI</t>
        </is>
      </c>
      <c r="D66" s="8" t="n">
        <v>1652.4228</v>
      </c>
      <c r="E66" s="8" t="n">
        <v>6.0219</v>
      </c>
      <c r="F66" s="8" t="n">
        <v>4.9706</v>
      </c>
      <c r="G66" s="8" t="n">
        <v>19.744</v>
      </c>
      <c r="H66" s="8" t="n">
        <v>16.5414</v>
      </c>
      <c r="I66" s="8" t="inlineStr"/>
      <c r="J66" s="8" t="n">
        <v>27.8668</v>
      </c>
      <c r="K66" s="8" t="n">
        <v>29.6846</v>
      </c>
      <c r="L66" s="8" t="n">
        <v>0.3125</v>
      </c>
      <c r="M66" s="8" t="n">
        <v>0.5658</v>
      </c>
      <c r="N66" s="8" t="n">
        <v>-0.0407</v>
      </c>
      <c r="O66" s="8" t="n">
        <v>95.9922</v>
      </c>
      <c r="P66" s="8" t="n">
        <v>94.535</v>
      </c>
      <c r="Q66" s="8" t="n">
        <v>4.5057</v>
      </c>
      <c r="R66" s="8" t="n">
        <v>0.9608</v>
      </c>
      <c r="S66" s="8" t="n">
        <v>2.08</v>
      </c>
      <c r="T66" s="8" t="n">
        <v>92</v>
      </c>
      <c r="U66" s="11" t="inlineStr">
        <is>
          <t>Gaurav Chopra</t>
        </is>
      </c>
      <c r="V66" s="11" t="inlineStr">
        <is>
          <t>Pratik Dharmshi</t>
        </is>
      </c>
      <c r="W66" s="8" t="n">
        <v>1.3</v>
      </c>
      <c r="X66" s="8" t="n">
        <v>0.78</v>
      </c>
    </row>
    <row r="67" ht="30" customHeight="1">
      <c r="A67" s="16" t="inlineStr">
        <is>
          <t>SBI Flexicap Fund-Reg(G)</t>
        </is>
      </c>
      <c r="B67" s="14" t="inlineStr">
        <is>
          <t>Flexi Cap Fund</t>
        </is>
      </c>
      <c r="C67" s="16" t="inlineStr">
        <is>
          <t>BSE 500 - TRI</t>
        </is>
      </c>
      <c r="D67" s="14" t="n">
        <v>23297.4528</v>
      </c>
      <c r="E67" s="14" t="n">
        <v>20.5479</v>
      </c>
      <c r="F67" s="14" t="n">
        <v>-2.1184</v>
      </c>
      <c r="G67" s="14" t="n">
        <v>11.008</v>
      </c>
      <c r="H67" s="14" t="n">
        <v>9.854799999999999</v>
      </c>
      <c r="I67" s="14" t="n">
        <v>11.8787</v>
      </c>
      <c r="J67" s="14" t="n">
        <v>20.2217</v>
      </c>
      <c r="K67" s="14" t="n">
        <v>22.4629</v>
      </c>
      <c r="L67" s="14" t="n">
        <v>0.2273</v>
      </c>
      <c r="M67" s="14" t="n">
        <v>0.3946</v>
      </c>
      <c r="N67" s="14" t="n">
        <v>-0.1844</v>
      </c>
      <c r="O67" s="14" t="n">
        <v>87.04519999999999</v>
      </c>
      <c r="P67" s="14" t="n">
        <v>86.9879</v>
      </c>
      <c r="Q67" s="14" t="n">
        <v>3.297</v>
      </c>
      <c r="R67" s="14" t="n">
        <v>0.8693</v>
      </c>
      <c r="S67" s="14" t="n">
        <v>1.66</v>
      </c>
      <c r="T67" s="14" t="n">
        <v>95</v>
      </c>
      <c r="U67" s="16" t="inlineStr">
        <is>
          <t>Dinesh Balachandran</t>
        </is>
      </c>
      <c r="V67" s="16" t="inlineStr">
        <is>
          <t>Anup Upadhyay</t>
        </is>
      </c>
      <c r="W67" s="14" t="n">
        <v>0.84</v>
      </c>
      <c r="X67" s="14" t="n">
        <v>0.82</v>
      </c>
    </row>
    <row r="68" ht="30" customHeight="1">
      <c r="A68" s="11" t="inlineStr">
        <is>
          <t>Aditya Birla SL Midcap Fund(G)</t>
        </is>
      </c>
      <c r="B68" s="8" t="inlineStr">
        <is>
          <t>Mid Cap Fund</t>
        </is>
      </c>
      <c r="C68" s="11" t="inlineStr">
        <is>
          <t>Nifty Midcap 150 - TRI</t>
        </is>
      </c>
      <c r="D68" s="8" t="n">
        <v>6130.2713</v>
      </c>
      <c r="E68" s="8" t="n">
        <v>23.5041</v>
      </c>
      <c r="F68" s="8" t="n">
        <v>0.0098</v>
      </c>
      <c r="G68" s="8" t="n">
        <v>18.783</v>
      </c>
      <c r="H68" s="8" t="n">
        <v>15.5385</v>
      </c>
      <c r="I68" s="8" t="n">
        <v>13.3113</v>
      </c>
      <c r="J68" s="8" t="n">
        <v>22.2915</v>
      </c>
      <c r="K68" s="8" t="n">
        <v>18.5983</v>
      </c>
      <c r="L68" s="8" t="n">
        <v>0.2984</v>
      </c>
      <c r="M68" s="8" t="n">
        <v>0.5623</v>
      </c>
      <c r="N68" s="8" t="n">
        <v>-0.2348</v>
      </c>
      <c r="O68" s="8" t="n">
        <v>89.2486</v>
      </c>
      <c r="P68" s="8" t="n">
        <v>96.23009999999999</v>
      </c>
      <c r="Q68" s="8" t="n">
        <v>4.4235</v>
      </c>
      <c r="R68" s="8" t="n">
        <v>0.9352</v>
      </c>
      <c r="S68" s="8" t="n">
        <v>1.87</v>
      </c>
      <c r="T68" s="8" t="n">
        <v>72</v>
      </c>
      <c r="U68" s="11" t="inlineStr">
        <is>
          <t>Vishal Gajwani</t>
        </is>
      </c>
      <c r="V68" s="11" t="inlineStr"/>
      <c r="W68" s="8" t="n">
        <v>0.85</v>
      </c>
      <c r="X68" s="8" t="n">
        <v>1.02</v>
      </c>
    </row>
    <row r="69" ht="30" customHeight="1">
      <c r="A69" s="16" t="inlineStr">
        <is>
          <t>Union Flexi Cap Fund-Reg(G)</t>
        </is>
      </c>
      <c r="B69" s="14" t="inlineStr">
        <is>
          <t>Flexi Cap Fund</t>
        </is>
      </c>
      <c r="C69" s="16" t="inlineStr">
        <is>
          <t>BSE 500 - TRI</t>
        </is>
      </c>
      <c r="D69" s="14" t="n">
        <v>2348.8715</v>
      </c>
      <c r="E69" s="14" t="n">
        <v>14.8137</v>
      </c>
      <c r="F69" s="14" t="n">
        <v>-1.8471</v>
      </c>
      <c r="G69" s="14" t="n">
        <v>13.5325</v>
      </c>
      <c r="H69" s="14" t="n">
        <v>11.7928</v>
      </c>
      <c r="I69" s="14" t="n">
        <v>12.7147</v>
      </c>
      <c r="J69" s="14" t="n">
        <v>20.2217</v>
      </c>
      <c r="K69" s="14" t="n">
        <v>22.4629</v>
      </c>
      <c r="L69" s="14" t="n">
        <v>0.2506</v>
      </c>
      <c r="M69" s="14" t="n">
        <v>0.434</v>
      </c>
      <c r="N69" s="14" t="n">
        <v>0.0129</v>
      </c>
      <c r="O69" s="14" t="n">
        <v>99.1956</v>
      </c>
      <c r="P69" s="14" t="n">
        <v>97.1491</v>
      </c>
      <c r="Q69" s="14" t="n">
        <v>3.6971</v>
      </c>
      <c r="R69" s="14" t="n">
        <v>0.9684</v>
      </c>
      <c r="S69" s="14" t="n">
        <v>2.02</v>
      </c>
      <c r="T69" s="14" t="n">
        <v>72</v>
      </c>
      <c r="U69" s="16" t="inlineStr">
        <is>
          <t>Sanjay Bembalkar</t>
        </is>
      </c>
      <c r="V69" s="16" t="inlineStr">
        <is>
          <t>Vinod Malviya</t>
        </is>
      </c>
      <c r="W69" s="14" t="n">
        <v>1.09</v>
      </c>
      <c r="X69" s="14" t="n">
        <v>0.93</v>
      </c>
    </row>
    <row r="70" ht="30" customHeight="1">
      <c r="A70" s="11" t="inlineStr">
        <is>
          <t>LIC MF Small Cap Fund-Reg(G)</t>
        </is>
      </c>
      <c r="B70" s="8" t="inlineStr">
        <is>
          <t>Small cap Fund</t>
        </is>
      </c>
      <c r="C70" s="11" t="inlineStr">
        <is>
          <t>Nifty Smallcap 250 - TRI</t>
        </is>
      </c>
      <c r="D70" s="8" t="n">
        <v>605.8872</v>
      </c>
      <c r="E70" s="8" t="n">
        <v>8.7781</v>
      </c>
      <c r="F70" s="8" t="n">
        <v>-5.2116</v>
      </c>
      <c r="G70" s="8" t="n">
        <v>15.5997</v>
      </c>
      <c r="H70" s="8" t="n">
        <v>16.8761</v>
      </c>
      <c r="I70" s="8" t="inlineStr"/>
      <c r="J70" s="8" t="n">
        <v>20.2539</v>
      </c>
      <c r="K70" s="8" t="n">
        <v>17.3376</v>
      </c>
      <c r="L70" s="8" t="n">
        <v>0.2087</v>
      </c>
      <c r="M70" s="8" t="n">
        <v>0.3577</v>
      </c>
      <c r="N70" s="8" t="n">
        <v>-0.1495</v>
      </c>
      <c r="O70" s="8" t="n">
        <v>87.8899</v>
      </c>
      <c r="P70" s="8" t="n">
        <v>94.2632</v>
      </c>
      <c r="Q70" s="8" t="n">
        <v>5.5368</v>
      </c>
      <c r="R70" s="8" t="n">
        <v>0.9237</v>
      </c>
      <c r="S70" s="8" t="n">
        <v>2.39</v>
      </c>
      <c r="T70" s="8" t="n">
        <v>72</v>
      </c>
      <c r="U70" s="11" t="inlineStr">
        <is>
          <t>Dikshit Mittal</t>
        </is>
      </c>
      <c r="V70" s="11" t="inlineStr">
        <is>
          <t>Yogesh Patil</t>
        </is>
      </c>
      <c r="W70" s="8" t="n">
        <v>1.36</v>
      </c>
      <c r="X70" s="8" t="n">
        <v>1.03</v>
      </c>
    </row>
    <row r="71" ht="30" customHeight="1">
      <c r="A71" s="16" t="inlineStr">
        <is>
          <t>PGIM India Small Cap Fund-Reg(G)</t>
        </is>
      </c>
      <c r="B71" s="14" t="inlineStr">
        <is>
          <t>Small cap Fund</t>
        </is>
      </c>
      <c r="C71" s="16" t="inlineStr">
        <is>
          <t>Nifty Smallcap 250 - TRI</t>
        </is>
      </c>
      <c r="D71" s="14" t="n">
        <v>1488.7365</v>
      </c>
      <c r="E71" s="14" t="n">
        <v>4.6712</v>
      </c>
      <c r="F71" s="14" t="n">
        <v>1.7569</v>
      </c>
      <c r="G71" s="14" t="n">
        <v>13.158</v>
      </c>
      <c r="H71" s="14" t="inlineStr"/>
      <c r="I71" s="14" t="inlineStr"/>
      <c r="J71" s="14" t="n">
        <v>20.2539</v>
      </c>
      <c r="K71" s="14" t="n">
        <v>17.3376</v>
      </c>
      <c r="L71" s="14" t="n">
        <v>0.196</v>
      </c>
      <c r="M71" s="14" t="n">
        <v>0.3499</v>
      </c>
      <c r="N71" s="14" t="n">
        <v>-0.273</v>
      </c>
      <c r="O71" s="14" t="n">
        <v>71.1146</v>
      </c>
      <c r="P71" s="14" t="n">
        <v>75.5611</v>
      </c>
      <c r="Q71" s="14" t="n">
        <v>4.4417</v>
      </c>
      <c r="R71" s="14" t="n">
        <v>0.7409</v>
      </c>
      <c r="S71" s="14" t="n">
        <v>2.08</v>
      </c>
      <c r="T71" s="14" t="n">
        <v>38</v>
      </c>
      <c r="U71" s="16" t="inlineStr">
        <is>
          <t>Utsav Mehta</t>
        </is>
      </c>
      <c r="V71" s="16" t="inlineStr">
        <is>
          <t>Sharma Vivek</t>
        </is>
      </c>
      <c r="W71" s="14" t="n">
        <v>1.5</v>
      </c>
      <c r="X71" s="14" t="n">
        <v>0.58</v>
      </c>
    </row>
    <row r="72" ht="30" customHeight="1">
      <c r="A72" s="11" t="inlineStr">
        <is>
          <t>Sundaram Large Cap Fund-Reg(G)</t>
        </is>
      </c>
      <c r="B72" s="8" t="inlineStr">
        <is>
          <t>Large Cap Fund</t>
        </is>
      </c>
      <c r="C72" s="11" t="inlineStr">
        <is>
          <t>NIFTY 100 - TRI</t>
        </is>
      </c>
      <c r="D72" s="8" t="n">
        <v>3244.8609</v>
      </c>
      <c r="E72" s="8" t="n">
        <v>5.4767</v>
      </c>
      <c r="F72" s="8" t="n">
        <v>-3.471</v>
      </c>
      <c r="G72" s="8" t="n">
        <v>10.6613</v>
      </c>
      <c r="H72" s="8" t="n">
        <v>9.866899999999999</v>
      </c>
      <c r="I72" s="8" t="inlineStr"/>
      <c r="J72" s="8" t="n">
        <v>12.7795</v>
      </c>
      <c r="K72" s="8" t="n">
        <v>11.0528</v>
      </c>
      <c r="L72" s="8" t="n">
        <v>0.2129</v>
      </c>
      <c r="M72" s="8" t="n">
        <v>0.3822</v>
      </c>
      <c r="N72" s="8" t="n">
        <v>-0.2972</v>
      </c>
      <c r="O72" s="8" t="n">
        <v>87.3079</v>
      </c>
      <c r="P72" s="8" t="n">
        <v>92.8138</v>
      </c>
      <c r="Q72" s="8" t="n">
        <v>3.199</v>
      </c>
      <c r="R72" s="8" t="n">
        <v>0.8998</v>
      </c>
      <c r="S72" s="8" t="n">
        <v>1.92</v>
      </c>
      <c r="T72" s="8" t="n">
        <v>30.3</v>
      </c>
      <c r="U72" s="11" t="inlineStr">
        <is>
          <t>Ashwin Jain</t>
        </is>
      </c>
      <c r="V72" s="11" t="inlineStr"/>
      <c r="W72" s="8" t="n">
        <v>1.26</v>
      </c>
      <c r="X72" s="8" t="n">
        <v>0.66</v>
      </c>
    </row>
    <row r="73" ht="30" customHeight="1">
      <c r="A73" s="16" t="inlineStr">
        <is>
          <t>PGIM India Flexi Cap Fund-Reg(G)</t>
        </is>
      </c>
      <c r="B73" s="14" t="inlineStr">
        <is>
          <t>Flexi Cap Fund</t>
        </is>
      </c>
      <c r="C73" s="16" t="inlineStr">
        <is>
          <t>NIFTY 500 - TRI</t>
        </is>
      </c>
      <c r="D73" s="14" t="n">
        <v>6004.1198</v>
      </c>
      <c r="E73" s="14" t="n">
        <v>11.0795</v>
      </c>
      <c r="F73" s="14" t="n">
        <v>-2.1245</v>
      </c>
      <c r="G73" s="14" t="n">
        <v>10.8158</v>
      </c>
      <c r="H73" s="14" t="n">
        <v>10.3605</v>
      </c>
      <c r="I73" s="14" t="n">
        <v>13.2453</v>
      </c>
      <c r="J73" s="14" t="n">
        <v>14.8836</v>
      </c>
      <c r="K73" s="14" t="n">
        <v>12.7029</v>
      </c>
      <c r="L73" s="14" t="n">
        <v>0.1995</v>
      </c>
      <c r="M73" s="14" t="n">
        <v>0.3633</v>
      </c>
      <c r="N73" s="14" t="n">
        <v>-0.2902</v>
      </c>
      <c r="O73" s="14" t="n">
        <v>86.43389999999999</v>
      </c>
      <c r="P73" s="14" t="n">
        <v>100.5839</v>
      </c>
      <c r="Q73" s="14" t="n">
        <v>3.6443</v>
      </c>
      <c r="R73" s="14" t="n">
        <v>0.9338</v>
      </c>
      <c r="S73" s="14" t="n">
        <v>1.79</v>
      </c>
      <c r="T73" s="14" t="n">
        <v>33</v>
      </c>
      <c r="U73" s="16" t="inlineStr">
        <is>
          <t>Anandha Padmanabhan Anjeneyan</t>
        </is>
      </c>
      <c r="V73" s="16" t="inlineStr">
        <is>
          <t>Sharma Vivek</t>
        </is>
      </c>
      <c r="W73" s="14" t="n">
        <v>1.3</v>
      </c>
      <c r="X73" s="14" t="n">
        <v>0.49</v>
      </c>
    </row>
    <row r="74" ht="30" customHeight="1">
      <c r="A74" s="11" t="inlineStr">
        <is>
          <t>Bandhan Midcap Fund-Reg(G)</t>
        </is>
      </c>
      <c r="B74" s="8" t="inlineStr">
        <is>
          <t>Mid Cap Fund</t>
        </is>
      </c>
      <c r="C74" s="11" t="inlineStr">
        <is>
          <t>BSE 150 MidCap - TRI</t>
        </is>
      </c>
      <c r="D74" s="8" t="n">
        <v>2008.0203</v>
      </c>
      <c r="E74" s="8" t="n">
        <v>3.6164</v>
      </c>
      <c r="F74" s="8" t="n">
        <v>2.8521</v>
      </c>
      <c r="G74" s="8" t="n">
        <v>19.1192</v>
      </c>
      <c r="H74" s="8" t="inlineStr"/>
      <c r="I74" s="8" t="inlineStr"/>
      <c r="J74" s="8" t="n">
        <v>27.8668</v>
      </c>
      <c r="K74" s="8" t="n">
        <v>29.6846</v>
      </c>
      <c r="L74" s="8" t="n">
        <v>0.2864</v>
      </c>
      <c r="M74" s="8" t="n">
        <v>0.5099</v>
      </c>
      <c r="N74" s="8" t="n">
        <v>0.1978</v>
      </c>
      <c r="O74" s="8" t="n">
        <v>135.8628</v>
      </c>
      <c r="P74" s="8" t="n">
        <v>114.4248</v>
      </c>
      <c r="Q74" s="8" t="n">
        <v>4.8306</v>
      </c>
      <c r="R74" s="8" t="n">
        <v>1.1185</v>
      </c>
      <c r="S74" s="8" t="n">
        <v>2.05</v>
      </c>
      <c r="T74" s="8" t="n">
        <v>29</v>
      </c>
      <c r="U74" s="11" t="inlineStr">
        <is>
          <t>Ritu Modi</t>
        </is>
      </c>
      <c r="V74" s="11" t="inlineStr">
        <is>
          <t>Harshal Joshi</t>
        </is>
      </c>
      <c r="W74" s="8" t="n">
        <v>1.4</v>
      </c>
      <c r="X74" s="8" t="n">
        <v>0.65</v>
      </c>
    </row>
    <row r="75" ht="30" customHeight="1">
      <c r="A75" s="16" t="inlineStr">
        <is>
          <t>Aditya Birla SL Small Cap Fund(G)</t>
        </is>
      </c>
      <c r="B75" s="14" t="inlineStr">
        <is>
          <t>Small cap Fund</t>
        </is>
      </c>
      <c r="C75" s="16" t="inlineStr">
        <is>
          <t>BSE 250 Small Cap - TRI</t>
        </is>
      </c>
      <c r="D75" s="14" t="n">
        <v>4882.1247</v>
      </c>
      <c r="E75" s="14" t="n">
        <v>18.8438</v>
      </c>
      <c r="F75" s="14" t="n">
        <v>2.786</v>
      </c>
      <c r="G75" s="14" t="n">
        <v>17.252</v>
      </c>
      <c r="H75" s="14" t="n">
        <v>13.2074</v>
      </c>
      <c r="I75" s="14" t="n">
        <v>12.536</v>
      </c>
      <c r="J75" s="14" t="n">
        <v>26.9976</v>
      </c>
      <c r="K75" s="14" t="n">
        <v>31.2219</v>
      </c>
      <c r="L75" s="14" t="n">
        <v>0.2368</v>
      </c>
      <c r="M75" s="14" t="n">
        <v>0.4243</v>
      </c>
      <c r="N75" s="14" t="n">
        <v>0.1267</v>
      </c>
      <c r="O75" s="14" t="n">
        <v>134.3938</v>
      </c>
      <c r="P75" s="14" t="n">
        <v>133.06</v>
      </c>
      <c r="Q75" s="14" t="n">
        <v>5.1326</v>
      </c>
      <c r="R75" s="14" t="n">
        <v>1.1447</v>
      </c>
      <c r="S75" s="14" t="n">
        <v>1.9</v>
      </c>
      <c r="T75" s="14" t="n">
        <v>41</v>
      </c>
      <c r="U75" s="16" t="inlineStr">
        <is>
          <t>Abhinav Khandelwal</t>
        </is>
      </c>
      <c r="V75" s="16" t="inlineStr">
        <is>
          <t>Dhaval Joshi</t>
        </is>
      </c>
      <c r="W75" s="14" t="n">
        <v>0.99</v>
      </c>
      <c r="X75" s="14" t="n">
        <v>0.91</v>
      </c>
    </row>
    <row r="76" ht="30" customHeight="1">
      <c r="A76" s="11" t="inlineStr">
        <is>
          <t>Axis Large Cap Fund-Reg(G)</t>
        </is>
      </c>
      <c r="B76" s="8" t="inlineStr">
        <is>
          <t>Large Cap Fund</t>
        </is>
      </c>
      <c r="C76" s="11" t="inlineStr">
        <is>
          <t>NIFTY 50 - TRI</t>
        </is>
      </c>
      <c r="D76" s="8" t="n">
        <v>32436.7727</v>
      </c>
      <c r="E76" s="8" t="n">
        <v>16.2411</v>
      </c>
      <c r="F76" s="8" t="n">
        <v>-4.0934</v>
      </c>
      <c r="G76" s="8" t="n">
        <v>10.5878</v>
      </c>
      <c r="H76" s="8" t="n">
        <v>7.5209</v>
      </c>
      <c r="I76" s="8" t="n">
        <v>11.6735</v>
      </c>
      <c r="J76" s="8" t="n">
        <v>11.6209</v>
      </c>
      <c r="K76" s="8" t="n">
        <v>10.7538</v>
      </c>
      <c r="L76" s="8" t="n">
        <v>0.2059</v>
      </c>
      <c r="M76" s="8" t="n">
        <v>0.3575</v>
      </c>
      <c r="N76" s="8" t="n">
        <v>-0.1023</v>
      </c>
      <c r="O76" s="8" t="n">
        <v>94.3717</v>
      </c>
      <c r="P76" s="8" t="n">
        <v>98.4054</v>
      </c>
      <c r="Q76" s="8" t="n">
        <v>3.2692</v>
      </c>
      <c r="R76" s="8" t="n">
        <v>0.9405</v>
      </c>
      <c r="S76" s="8" t="n">
        <v>1.58</v>
      </c>
      <c r="T76" s="8" t="n">
        <v>83</v>
      </c>
      <c r="U76" s="11" t="inlineStr">
        <is>
          <t>Shreyash Devalkar</t>
        </is>
      </c>
      <c r="V76" s="11" t="inlineStr">
        <is>
          <t>Jayesh Sundar</t>
        </is>
      </c>
      <c r="W76" s="8" t="n">
        <v>0.86</v>
      </c>
      <c r="X76" s="8" t="n">
        <v>0.72</v>
      </c>
    </row>
    <row r="77" ht="30" customHeight="1">
      <c r="A77" s="16" t="inlineStr">
        <is>
          <t>UTI Mid Cap Fund-Reg(IDCW)</t>
        </is>
      </c>
      <c r="B77" s="14" t="inlineStr">
        <is>
          <t>Mid Cap Fund</t>
        </is>
      </c>
      <c r="C77" s="16" t="inlineStr">
        <is>
          <t>Nifty Midcap 150 - TRI</t>
        </is>
      </c>
      <c r="D77" s="14" t="n">
        <v>11734.3873</v>
      </c>
      <c r="E77" s="14" t="n">
        <v>21.9918</v>
      </c>
      <c r="F77" s="14" t="n">
        <v>1.0974</v>
      </c>
      <c r="G77" s="14" t="n">
        <v>16.1078</v>
      </c>
      <c r="H77" s="14" t="n">
        <v>13.5569</v>
      </c>
      <c r="I77" s="14" t="n">
        <v>13.7312</v>
      </c>
      <c r="J77" s="14" t="n">
        <v>22.2915</v>
      </c>
      <c r="K77" s="14" t="n">
        <v>18.5983</v>
      </c>
      <c r="L77" s="14" t="n">
        <v>0.2596</v>
      </c>
      <c r="M77" s="14" t="n">
        <v>0.4747</v>
      </c>
      <c r="N77" s="14" t="n">
        <v>-0.4062</v>
      </c>
      <c r="O77" s="14" t="n">
        <v>86.28879999999999</v>
      </c>
      <c r="P77" s="14" t="n">
        <v>103.1232</v>
      </c>
      <c r="Q77" s="14" t="n">
        <v>4.4381</v>
      </c>
      <c r="R77" s="14" t="n">
        <v>0.9429999999999999</v>
      </c>
      <c r="S77" s="14" t="n">
        <v>1.76</v>
      </c>
      <c r="T77" s="14" t="n">
        <v>44</v>
      </c>
      <c r="U77" s="16" t="inlineStr">
        <is>
          <t>Vishal Chopda</t>
        </is>
      </c>
      <c r="V77" s="16" t="inlineStr"/>
      <c r="W77" s="14" t="n">
        <v>0.84</v>
      </c>
      <c r="X77" s="14" t="n">
        <v>0.92</v>
      </c>
    </row>
    <row r="78" ht="30" customHeight="1">
      <c r="A78" s="11" t="inlineStr">
        <is>
          <t>Mirae Asset Large Cap Fund-Reg(G)</t>
        </is>
      </c>
      <c r="B78" s="8" t="inlineStr">
        <is>
          <t>Large Cap Fund</t>
        </is>
      </c>
      <c r="C78" s="11" t="inlineStr">
        <is>
          <t>NIFTY 100 - TRI</t>
        </is>
      </c>
      <c r="D78" s="8" t="n">
        <v>40184.407</v>
      </c>
      <c r="E78" s="8" t="n">
        <v>17.9973</v>
      </c>
      <c r="F78" s="8" t="n">
        <v>-2.8154</v>
      </c>
      <c r="G78" s="8" t="n">
        <v>10.7454</v>
      </c>
      <c r="H78" s="8" t="n">
        <v>9.567500000000001</v>
      </c>
      <c r="I78" s="8" t="n">
        <v>12.6805</v>
      </c>
      <c r="J78" s="8" t="n">
        <v>12.7795</v>
      </c>
      <c r="K78" s="8" t="n">
        <v>11.0528</v>
      </c>
      <c r="L78" s="8" t="n">
        <v>0.2136</v>
      </c>
      <c r="M78" s="8" t="n">
        <v>0.3792</v>
      </c>
      <c r="N78" s="8" t="n">
        <v>-0.2089</v>
      </c>
      <c r="O78" s="8" t="n">
        <v>92.68000000000001</v>
      </c>
      <c r="P78" s="8" t="n">
        <v>100.624</v>
      </c>
      <c r="Q78" s="8" t="n">
        <v>3.3998</v>
      </c>
      <c r="R78" s="8" t="n">
        <v>0.95</v>
      </c>
      <c r="S78" s="8" t="n">
        <v>1.52</v>
      </c>
      <c r="T78" s="8" t="n">
        <v>36</v>
      </c>
      <c r="U78" s="11" t="inlineStr">
        <is>
          <t>Gaurav Misra</t>
        </is>
      </c>
      <c r="V78" s="11" t="inlineStr"/>
      <c r="W78" s="8" t="n">
        <v>0.97</v>
      </c>
      <c r="X78" s="8" t="n">
        <v>0.55</v>
      </c>
    </row>
    <row r="79" ht="30" customHeight="1">
      <c r="A79" s="16" t="inlineStr">
        <is>
          <t>LIC MF Flexi Cap Fund-Reg(G)</t>
        </is>
      </c>
      <c r="B79" s="14" t="inlineStr">
        <is>
          <t>Flexi Cap Fund</t>
        </is>
      </c>
      <c r="C79" s="16" t="inlineStr">
        <is>
          <t>NIFTY 500 - TRI</t>
        </is>
      </c>
      <c r="D79" s="14" t="n">
        <v>1000.3619</v>
      </c>
      <c r="E79" s="14" t="n">
        <v>28.0164</v>
      </c>
      <c r="F79" s="14" t="n">
        <v>1.3481</v>
      </c>
      <c r="G79" s="14" t="n">
        <v>12.6556</v>
      </c>
      <c r="H79" s="14" t="n">
        <v>9.510899999999999</v>
      </c>
      <c r="I79" s="14" t="n">
        <v>9.479799999999999</v>
      </c>
      <c r="J79" s="14" t="n">
        <v>14.8836</v>
      </c>
      <c r="K79" s="14" t="n">
        <v>12.7029</v>
      </c>
      <c r="L79" s="14" t="n">
        <v>0.2124</v>
      </c>
      <c r="M79" s="14" t="n">
        <v>0.362</v>
      </c>
      <c r="N79" s="14" t="n">
        <v>-0.0829</v>
      </c>
      <c r="O79" s="14" t="n">
        <v>101.3113</v>
      </c>
      <c r="P79" s="14" t="n">
        <v>119.0362</v>
      </c>
      <c r="Q79" s="14" t="n">
        <v>4.2572</v>
      </c>
      <c r="R79" s="14" t="n">
        <v>1.0523</v>
      </c>
      <c r="S79" s="14" t="n">
        <v>2.32</v>
      </c>
      <c r="T79" s="14" t="n">
        <v>96</v>
      </c>
      <c r="U79" s="16" t="inlineStr">
        <is>
          <t>Karan Doshi</t>
        </is>
      </c>
      <c r="V79" s="16" t="inlineStr">
        <is>
          <t>Jaiprakash Toshniwal</t>
        </is>
      </c>
      <c r="W79" s="14" t="n">
        <v>0.73</v>
      </c>
      <c r="X79" s="14" t="n">
        <v>1.59</v>
      </c>
    </row>
    <row r="80" ht="30" customHeight="1">
      <c r="A80" s="11" t="inlineStr">
        <is>
          <t>UTI Flexi Cap Fund-Reg(IDCW)</t>
        </is>
      </c>
      <c r="B80" s="8" t="inlineStr">
        <is>
          <t>Flexi Cap Fund</t>
        </is>
      </c>
      <c r="C80" s="11" t="inlineStr">
        <is>
          <t>NIFTY 500 - TRI</t>
        </is>
      </c>
      <c r="D80" s="8" t="n">
        <v>22885.6578</v>
      </c>
      <c r="E80" s="8" t="n">
        <v>33.8877</v>
      </c>
      <c r="F80" s="8" t="n">
        <v>-9.092599999999999</v>
      </c>
      <c r="G80" s="8" t="n">
        <v>8.315099999999999</v>
      </c>
      <c r="H80" s="8" t="n">
        <v>5.5797</v>
      </c>
      <c r="I80" s="8" t="n">
        <v>11.012</v>
      </c>
      <c r="J80" s="8" t="n">
        <v>14.8836</v>
      </c>
      <c r="K80" s="8" t="n">
        <v>12.7029</v>
      </c>
      <c r="L80" s="8" t="n">
        <v>0.1372</v>
      </c>
      <c r="M80" s="8" t="n">
        <v>0.2489</v>
      </c>
      <c r="N80" s="8" t="n">
        <v>-0.3382</v>
      </c>
      <c r="O80" s="8" t="n">
        <v>76.9988</v>
      </c>
      <c r="P80" s="8" t="n">
        <v>101.3885</v>
      </c>
      <c r="Q80" s="8" t="n">
        <v>3.7168</v>
      </c>
      <c r="R80" s="8" t="n">
        <v>0.9066</v>
      </c>
      <c r="S80" s="8" t="n">
        <v>1.68</v>
      </c>
      <c r="T80" s="8" t="n">
        <v>9</v>
      </c>
      <c r="U80" s="11" t="inlineStr">
        <is>
          <t>Ajay Tyagi</t>
        </is>
      </c>
      <c r="V80" s="11" t="inlineStr">
        <is>
          <t>Akash Shah</t>
        </is>
      </c>
      <c r="W80" s="8" t="n">
        <v>0.63</v>
      </c>
      <c r="X80" s="8" t="n">
        <v>1.05</v>
      </c>
    </row>
    <row r="81" ht="30" customHeight="1">
      <c r="A81" s="16" t="inlineStr">
        <is>
          <t>PGIM India Midcap Fund-Reg(G)</t>
        </is>
      </c>
      <c r="B81" s="14" t="inlineStr">
        <is>
          <t>Mid Cap Fund</t>
        </is>
      </c>
      <c r="C81" s="16" t="inlineStr">
        <is>
          <t>Nifty Midcap 150 - TRI</t>
        </is>
      </c>
      <c r="D81" s="14" t="n">
        <v>10876.5399</v>
      </c>
      <c r="E81" s="14" t="n">
        <v>12.3315</v>
      </c>
      <c r="F81" s="14" t="n">
        <v>-2.0694</v>
      </c>
      <c r="G81" s="14" t="n">
        <v>11.8848</v>
      </c>
      <c r="H81" s="14" t="n">
        <v>13.2618</v>
      </c>
      <c r="I81" s="14" t="n">
        <v>15.05</v>
      </c>
      <c r="J81" s="14" t="n">
        <v>22.2915</v>
      </c>
      <c r="K81" s="14" t="n">
        <v>18.5983</v>
      </c>
      <c r="L81" s="14" t="n">
        <v>0.1997</v>
      </c>
      <c r="M81" s="14" t="n">
        <v>0.3639</v>
      </c>
      <c r="N81" s="14" t="n">
        <v>-0.4888</v>
      </c>
      <c r="O81" s="14" t="n">
        <v>71.8212</v>
      </c>
      <c r="P81" s="14" t="n">
        <v>94.25</v>
      </c>
      <c r="Q81" s="14" t="n">
        <v>4.0725</v>
      </c>
      <c r="R81" s="14" t="n">
        <v>0.8356</v>
      </c>
      <c r="S81" s="14" t="n">
        <v>1.71</v>
      </c>
      <c r="T81" s="14" t="n">
        <v>41</v>
      </c>
      <c r="U81" s="16" t="inlineStr">
        <is>
          <t>Sharma Vivek</t>
        </is>
      </c>
      <c r="V81" s="16" t="inlineStr">
        <is>
          <t>Utsav Mehta</t>
        </is>
      </c>
      <c r="W81" s="14" t="n">
        <v>1.2</v>
      </c>
      <c r="X81" s="14" t="n">
        <v>0.51</v>
      </c>
    </row>
    <row r="82" ht="30" customHeight="1">
      <c r="A82" s="11" t="inlineStr">
        <is>
          <t>UTI Large Cap Fund-Reg(IDCW)</t>
        </is>
      </c>
      <c r="B82" s="8" t="inlineStr">
        <is>
          <t>Large Cap Fund</t>
        </is>
      </c>
      <c r="C82" s="11" t="inlineStr">
        <is>
          <t>BSE 100 - TRI</t>
        </is>
      </c>
      <c r="D82" s="8" t="n">
        <v>12658.206</v>
      </c>
      <c r="E82" s="8" t="n">
        <v>39.4822</v>
      </c>
      <c r="F82" s="8" t="n">
        <v>-4.2879</v>
      </c>
      <c r="G82" s="8" t="n">
        <v>10.5564</v>
      </c>
      <c r="H82" s="8" t="n">
        <v>9.0723</v>
      </c>
      <c r="I82" s="8" t="n">
        <v>11.0373</v>
      </c>
      <c r="J82" s="8" t="n">
        <v>18.9841</v>
      </c>
      <c r="K82" s="8" t="n">
        <v>21.0624</v>
      </c>
      <c r="L82" s="8" t="n">
        <v>0.2075</v>
      </c>
      <c r="M82" s="8" t="n">
        <v>0.3612</v>
      </c>
      <c r="N82" s="8" t="n">
        <v>-0.1257</v>
      </c>
      <c r="O82" s="8" t="n">
        <v>92.5252</v>
      </c>
      <c r="P82" s="8" t="n">
        <v>94.0478</v>
      </c>
      <c r="Q82" s="8" t="n">
        <v>3.3199</v>
      </c>
      <c r="R82" s="8" t="n">
        <v>0.9367</v>
      </c>
      <c r="S82" s="8" t="n">
        <v>1.75</v>
      </c>
      <c r="T82" s="8" t="n">
        <v>39</v>
      </c>
      <c r="U82" s="11" t="inlineStr">
        <is>
          <t>Karthikraj Lakshmanan</t>
        </is>
      </c>
      <c r="V82" s="11" t="inlineStr"/>
      <c r="W82" s="8" t="n">
        <v>0.83</v>
      </c>
      <c r="X82" s="8" t="n">
        <v>0.92</v>
      </c>
    </row>
    <row r="83" ht="30" customHeight="1">
      <c r="A83" s="16" t="inlineStr">
        <is>
          <t>Quant Mid Cap Fund(G)</t>
        </is>
      </c>
      <c r="B83" s="14" t="inlineStr">
        <is>
          <t>Mid Cap Fund</t>
        </is>
      </c>
      <c r="C83" s="16" t="inlineStr">
        <is>
          <t>Nifty Midcap 150 - TRI</t>
        </is>
      </c>
      <c r="D83" s="14" t="n">
        <v>7341.3895</v>
      </c>
      <c r="E83" s="14" t="n">
        <v>25.1041</v>
      </c>
      <c r="F83" s="14" t="n">
        <v>-6.4434</v>
      </c>
      <c r="G83" s="14" t="n">
        <v>15.6201</v>
      </c>
      <c r="H83" s="14" t="n">
        <v>17.8979</v>
      </c>
      <c r="I83" s="14" t="n">
        <v>15.5583</v>
      </c>
      <c r="J83" s="14" t="n">
        <v>22.2915</v>
      </c>
      <c r="K83" s="14" t="n">
        <v>18.5983</v>
      </c>
      <c r="L83" s="14" t="n">
        <v>0.2095</v>
      </c>
      <c r="M83" s="14" t="n">
        <v>0.3984</v>
      </c>
      <c r="N83" s="14" t="n">
        <v>-0.2815</v>
      </c>
      <c r="O83" s="14" t="n">
        <v>80.58669999999999</v>
      </c>
      <c r="P83" s="14" t="n">
        <v>105.4235</v>
      </c>
      <c r="Q83" s="14" t="n">
        <v>4.5974</v>
      </c>
      <c r="R83" s="14" t="n">
        <v>0.8844</v>
      </c>
      <c r="S83" s="14" t="n">
        <v>1.82</v>
      </c>
      <c r="T83" s="14" t="n">
        <v>321</v>
      </c>
      <c r="U83" s="16" t="inlineStr">
        <is>
          <t>Sandeep Tandon</t>
        </is>
      </c>
      <c r="V83" s="16" t="inlineStr">
        <is>
          <t>Ankit Pande</t>
        </is>
      </c>
      <c r="W83" s="14" t="n">
        <v>1</v>
      </c>
      <c r="X83" s="14" t="n">
        <v>0.82</v>
      </c>
    </row>
    <row r="84" ht="30" customHeight="1">
      <c r="A84" s="11" t="inlineStr">
        <is>
          <t>Tata Small Cap Fund-Reg(G)</t>
        </is>
      </c>
      <c r="B84" s="8" t="inlineStr">
        <is>
          <t>Small cap Fund</t>
        </is>
      </c>
      <c r="C84" s="11" t="inlineStr">
        <is>
          <t>Nifty Smallcap 250 - TRI</t>
        </is>
      </c>
      <c r="D84" s="8" t="n">
        <v>10715.2111</v>
      </c>
      <c r="E84" s="8" t="n">
        <v>7.3836</v>
      </c>
      <c r="F84" s="8" t="n">
        <v>-14.9039</v>
      </c>
      <c r="G84" s="8" t="n">
        <v>10.7342</v>
      </c>
      <c r="H84" s="8" t="n">
        <v>15.7864</v>
      </c>
      <c r="I84" s="8" t="inlineStr"/>
      <c r="J84" s="8" t="n">
        <v>20.2539</v>
      </c>
      <c r="K84" s="8" t="n">
        <v>17.3376</v>
      </c>
      <c r="L84" s="8" t="n">
        <v>0.1572</v>
      </c>
      <c r="M84" s="8" t="n">
        <v>0.2717</v>
      </c>
      <c r="N84" s="8" t="n">
        <v>-0.3424</v>
      </c>
      <c r="O84" s="8" t="n">
        <v>75.4529</v>
      </c>
      <c r="P84" s="8" t="n">
        <v>90.26949999999999</v>
      </c>
      <c r="Q84" s="8" t="n">
        <v>5.0447</v>
      </c>
      <c r="R84" s="8" t="n">
        <v>0.8449</v>
      </c>
      <c r="S84" s="8" t="n">
        <v>1.69</v>
      </c>
      <c r="T84" s="8" t="n">
        <v>12.01</v>
      </c>
      <c r="U84" s="11" t="inlineStr">
        <is>
          <t>Chandraprakash Padiyar</t>
        </is>
      </c>
      <c r="V84" s="11" t="inlineStr">
        <is>
          <t>Jeetendra Khatri</t>
        </is>
      </c>
      <c r="W84" s="8" t="n">
        <v>1.28</v>
      </c>
      <c r="X84" s="8" t="n">
        <v>0.41</v>
      </c>
    </row>
  </sheetData>
  <autoFilter ref="A4:X84"/>
  <mergeCells count="2">
    <mergeCell ref="A1:V1"/>
    <mergeCell ref="A3:V3"/>
  </mergeCells>
  <pageMargins left="0.75" right="0.75" top="1" bottom="1" header="0.5" footer="0.5"/>
</worksheet>
</file>

<file path=xl/worksheets/sheet6.xml><?xml version="1.0" encoding="utf-8"?>
<worksheet xmlns="http://schemas.openxmlformats.org/spreadsheetml/2006/main">
  <sheetPr>
    <tabColor rgb="00FF6F00"/>
    <outlinePr summaryBelow="1" summaryRight="1"/>
    <pageSetUpPr/>
  </sheetPr>
  <dimension ref="A1:U85"/>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0" customWidth="1" min="21" max="21"/>
  </cols>
  <sheetData>
    <row r="1">
      <c r="A1" s="22" t="inlineStr">
        <is>
          <t>SCORING ENGINE — Factor Scores, Weights &amp; Composite</t>
        </is>
      </c>
    </row>
    <row r="2">
      <c r="A2" s="2" t="inlineStr">
        <is>
          <t>Alpha (25%) + Risk-Adjusted (25%) + Consistency (25%) + Downside Protection (20%) + Cost Efficiency (5%)</t>
        </is>
      </c>
    </row>
    <row r="3" ht="30" customHeight="1">
      <c r="A3" s="3" t="inlineStr">
        <is>
          <t>WEIGHTS</t>
        </is>
      </c>
      <c r="B3" s="31" t="n"/>
      <c r="C3" s="31" t="n"/>
      <c r="D3" s="31" t="n"/>
      <c r="E3" s="31" t="n"/>
      <c r="F3" s="31" t="n"/>
      <c r="G3" s="31" t="n"/>
      <c r="H3" s="31" t="n"/>
      <c r="I3" s="31" t="n"/>
      <c r="J3" s="31" t="n"/>
      <c r="K3" s="31" t="n"/>
      <c r="L3" s="31" t="n"/>
      <c r="M3" s="31" t="n"/>
      <c r="N3" s="31" t="n"/>
      <c r="O3" s="31" t="n"/>
      <c r="P3" s="31" t="n"/>
      <c r="Q3" s="31" t="n"/>
      <c r="R3" s="31" t="n"/>
      <c r="S3" s="32" t="n"/>
    </row>
    <row r="4">
      <c r="E4" s="24" t="inlineStr">
        <is>
          <t>25%</t>
        </is>
      </c>
      <c r="F4" s="24" t="inlineStr">
        <is>
          <t>25%</t>
        </is>
      </c>
      <c r="G4" s="24" t="inlineStr">
        <is>
          <t>25%</t>
        </is>
      </c>
      <c r="H4" s="24" t="inlineStr">
        <is>
          <t>20%</t>
        </is>
      </c>
      <c r="I4" s="24" t="inlineStr">
        <is>
          <t>5%</t>
        </is>
      </c>
    </row>
    <row r="5" ht="30" customHeight="1">
      <c r="A5" s="4" t="inlineStr">
        <is>
          <t>Fund</t>
        </is>
      </c>
      <c r="B5" s="4" t="inlineStr">
        <is>
          <t>Category</t>
        </is>
      </c>
      <c r="C5" s="4" t="inlineStr">
        <is>
          <t>Alpha 3Y</t>
        </is>
      </c>
      <c r="D5" s="4" t="inlineStr">
        <is>
          <t>Alpha 5Y</t>
        </is>
      </c>
      <c r="E5" s="4" t="inlineStr">
        <is>
          <t>Alpha Score</t>
        </is>
      </c>
      <c r="F5" s="4" t="inlineStr">
        <is>
          <t>Risk-Adj</t>
        </is>
      </c>
      <c r="G5" s="4" t="inlineStr">
        <is>
          <t>Consistency</t>
        </is>
      </c>
      <c r="H5" s="4" t="inlineStr">
        <is>
          <t>Downside</t>
        </is>
      </c>
      <c r="I5" s="4" t="inlineStr">
        <is>
          <t>Cost</t>
        </is>
      </c>
      <c r="J5" s="4" t="inlineStr">
        <is>
          <t>TOTAL</t>
        </is>
      </c>
      <c r="K5" s="4" t="inlineStr">
        <is>
          <t>Rank</t>
        </is>
      </c>
      <c r="L5" s="4" t="inlineStr">
        <is>
          <t>Rating</t>
        </is>
      </c>
      <c r="M5" s="4" t="inlineStr">
        <is>
          <t>Sub:A3Y</t>
        </is>
      </c>
      <c r="N5" s="4" t="inlineStr">
        <is>
          <t>Sub:A5Y</t>
        </is>
      </c>
      <c r="O5" s="4" t="inlineStr">
        <is>
          <t>Sub:Roll</t>
        </is>
      </c>
      <c r="P5" s="4" t="inlineStr">
        <is>
          <t>Sub:Sharpe</t>
        </is>
      </c>
      <c r="Q5" s="4" t="inlineStr">
        <is>
          <t>Sub:Sortino</t>
        </is>
      </c>
      <c r="R5" s="4" t="inlineStr">
        <is>
          <t>Sub:IR</t>
        </is>
      </c>
      <c r="S5" s="4" t="inlineStr">
        <is>
          <t>Sub:CapSpr</t>
        </is>
      </c>
      <c r="T5" s="4" t="inlineStr">
        <is>
          <t>ER Spread</t>
        </is>
      </c>
      <c r="U5" s="4" t="inlineStr">
        <is>
          <t>Qual /10</t>
        </is>
      </c>
    </row>
    <row r="6" ht="30" customHeight="1">
      <c r="A6" s="11" t="inlineStr">
        <is>
          <t>DSP Large Cap Fund-Reg(G)</t>
        </is>
      </c>
      <c r="B6" s="8" t="inlineStr">
        <is>
          <t>Large Cap Fund</t>
        </is>
      </c>
      <c r="C6" s="10" t="n">
        <v>4</v>
      </c>
      <c r="D6" s="8" t="n">
        <v>0.9</v>
      </c>
      <c r="E6" s="8" t="n">
        <v>94.7</v>
      </c>
      <c r="F6" s="8" t="n">
        <v>92</v>
      </c>
      <c r="G6" s="8" t="n">
        <v>96.59999999999999</v>
      </c>
      <c r="H6" s="8" t="n">
        <v>100</v>
      </c>
      <c r="I6" s="8" t="n">
        <v>33.3</v>
      </c>
      <c r="J6" s="9" t="n">
        <v>92.5</v>
      </c>
      <c r="K6" s="8" t="n">
        <v>1</v>
      </c>
      <c r="L6" s="9" t="inlineStr">
        <is>
          <t>Strong Buy</t>
        </is>
      </c>
      <c r="M6" s="8" t="n">
        <v>100</v>
      </c>
      <c r="N6" s="8" t="n">
        <v>86.7</v>
      </c>
      <c r="O6" s="8" t="n">
        <v>93.3</v>
      </c>
      <c r="P6" s="8" t="n">
        <v>86.7</v>
      </c>
      <c r="Q6" s="8" t="n">
        <v>100</v>
      </c>
      <c r="R6" s="8" t="n">
        <v>86.7</v>
      </c>
      <c r="S6" s="8" t="n">
        <v>100</v>
      </c>
      <c r="T6" s="8" t="n">
        <v>0.97</v>
      </c>
      <c r="U6" s="33" t="inlineStr"/>
    </row>
    <row r="7" ht="30" customHeight="1">
      <c r="A7" s="16" t="inlineStr">
        <is>
          <t>ICICI Pru Large Cap Fund(G)</t>
        </is>
      </c>
      <c r="B7" s="14" t="inlineStr">
        <is>
          <t>Large Cap Fund</t>
        </is>
      </c>
      <c r="C7" s="15" t="n">
        <v>2.6</v>
      </c>
      <c r="D7" s="14" t="n">
        <v>2.9</v>
      </c>
      <c r="E7" s="14" t="n">
        <v>90.7</v>
      </c>
      <c r="F7" s="14" t="n">
        <v>90.7</v>
      </c>
      <c r="G7" s="14" t="n">
        <v>86.7</v>
      </c>
      <c r="H7" s="14" t="n">
        <v>93.3</v>
      </c>
      <c r="I7" s="14" t="n">
        <v>100</v>
      </c>
      <c r="J7" s="9" t="n">
        <v>90.7</v>
      </c>
      <c r="K7" s="14" t="n">
        <v>2</v>
      </c>
      <c r="L7" s="9" t="inlineStr">
        <is>
          <t>Strong Buy</t>
        </is>
      </c>
      <c r="M7" s="14" t="n">
        <v>86.7</v>
      </c>
      <c r="N7" s="14" t="n">
        <v>100</v>
      </c>
      <c r="O7" s="14" t="n">
        <v>86.7</v>
      </c>
      <c r="P7" s="14" t="n">
        <v>100</v>
      </c>
      <c r="Q7" s="14" t="n">
        <v>86.7</v>
      </c>
      <c r="R7" s="14" t="n">
        <v>80</v>
      </c>
      <c r="S7" s="14" t="n">
        <v>86.7</v>
      </c>
      <c r="T7" s="14" t="n">
        <v>0.55</v>
      </c>
      <c r="U7" s="34" t="inlineStr"/>
    </row>
    <row r="8" ht="30" customHeight="1">
      <c r="A8" s="11" t="inlineStr">
        <is>
          <t>ICICI Pru Midcap Fund(G)</t>
        </is>
      </c>
      <c r="B8" s="8" t="inlineStr">
        <is>
          <t>Mid Cap Fund</t>
        </is>
      </c>
      <c r="C8" s="10" t="n">
        <v>1.6</v>
      </c>
      <c r="D8" s="8" t="n">
        <v>0</v>
      </c>
      <c r="E8" s="8" t="n">
        <v>96.5</v>
      </c>
      <c r="F8" s="8" t="n">
        <v>93.3</v>
      </c>
      <c r="G8" s="8" t="n">
        <v>92.8</v>
      </c>
      <c r="H8" s="8" t="n">
        <v>81</v>
      </c>
      <c r="I8" s="8" t="n">
        <v>40.5</v>
      </c>
      <c r="J8" s="9" t="n">
        <v>88.90000000000001</v>
      </c>
      <c r="K8" s="8" t="n">
        <v>1</v>
      </c>
      <c r="L8" s="9" t="inlineStr">
        <is>
          <t>Strong Buy</t>
        </is>
      </c>
      <c r="M8" s="8" t="n">
        <v>100</v>
      </c>
      <c r="N8" s="8" t="n">
        <v>88.2</v>
      </c>
      <c r="O8" s="8" t="n">
        <v>100</v>
      </c>
      <c r="P8" s="8" t="n">
        <v>90.5</v>
      </c>
      <c r="Q8" s="8" t="n">
        <v>100</v>
      </c>
      <c r="R8" s="8" t="n">
        <v>85.7</v>
      </c>
      <c r="S8" s="8" t="n">
        <v>85.7</v>
      </c>
      <c r="T8" s="8" t="n">
        <v>0.82</v>
      </c>
      <c r="U8" s="33" t="inlineStr"/>
    </row>
    <row r="9" ht="30" customHeight="1">
      <c r="A9" s="16" t="inlineStr">
        <is>
          <t>Aditya Birla SL Flexi Cap Fund-Reg(G)</t>
        </is>
      </c>
      <c r="B9" s="14" t="inlineStr">
        <is>
          <t>Flexi Cap Fund</t>
        </is>
      </c>
      <c r="C9" s="15" t="n">
        <v>1.8</v>
      </c>
      <c r="D9" s="14" t="n">
        <v>0.2</v>
      </c>
      <c r="E9" s="14" t="n">
        <v>84.09999999999999</v>
      </c>
      <c r="F9" s="14" t="n">
        <v>93.8</v>
      </c>
      <c r="G9" s="14" t="n">
        <v>80.8</v>
      </c>
      <c r="H9" s="14" t="n">
        <v>92.3</v>
      </c>
      <c r="I9" s="14" t="n">
        <v>100</v>
      </c>
      <c r="J9" s="9" t="n">
        <v>88.09999999999999</v>
      </c>
      <c r="K9" s="14" t="n">
        <v>1</v>
      </c>
      <c r="L9" s="9" t="inlineStr">
        <is>
          <t>Strong Buy</t>
        </is>
      </c>
      <c r="M9" s="14" t="n">
        <v>88.5</v>
      </c>
      <c r="N9" s="14" t="n">
        <v>76.5</v>
      </c>
      <c r="O9" s="14" t="n">
        <v>84.59999999999999</v>
      </c>
      <c r="P9" s="14" t="n">
        <v>100</v>
      </c>
      <c r="Q9" s="14" t="n">
        <v>100</v>
      </c>
      <c r="R9" s="14" t="n">
        <v>69.2</v>
      </c>
      <c r="S9" s="14" t="n">
        <v>76.90000000000001</v>
      </c>
      <c r="T9" s="14" t="n">
        <v>0.8</v>
      </c>
      <c r="U9" s="34" t="inlineStr"/>
    </row>
    <row r="10" ht="30" customHeight="1">
      <c r="A10" s="11" t="inlineStr">
        <is>
          <t>ITI Small Cap Fund-Reg(G)</t>
        </is>
      </c>
      <c r="B10" s="8" t="inlineStr">
        <is>
          <t>Small cap Fund</t>
        </is>
      </c>
      <c r="C10" s="10" t="n">
        <v>2.5</v>
      </c>
      <c r="D10" s="8" t="n">
        <v>-1.8</v>
      </c>
      <c r="E10" s="8" t="n">
        <v>77.5</v>
      </c>
      <c r="F10" s="8" t="n">
        <v>95.7</v>
      </c>
      <c r="G10" s="8" t="n">
        <v>92.8</v>
      </c>
      <c r="H10" s="8" t="n">
        <v>78.59999999999999</v>
      </c>
      <c r="I10" s="8" t="n">
        <v>53.6</v>
      </c>
      <c r="J10" s="9" t="n">
        <v>84.90000000000001</v>
      </c>
      <c r="K10" s="8" t="n">
        <v>1</v>
      </c>
      <c r="L10" s="9" t="inlineStr">
        <is>
          <t>Strong Buy</t>
        </is>
      </c>
      <c r="M10" s="8" t="n">
        <v>100</v>
      </c>
      <c r="N10" s="8" t="n">
        <v>25</v>
      </c>
      <c r="O10" s="8" t="n">
        <v>100</v>
      </c>
      <c r="P10" s="8" t="n">
        <v>100</v>
      </c>
      <c r="Q10" s="8" t="n">
        <v>100</v>
      </c>
      <c r="R10" s="8" t="n">
        <v>78.59999999999999</v>
      </c>
      <c r="S10" s="8" t="n">
        <v>85.7</v>
      </c>
      <c r="T10" s="8" t="n">
        <v>1.47</v>
      </c>
      <c r="U10" s="33" t="inlineStr"/>
    </row>
    <row r="11" ht="30" customHeight="1">
      <c r="A11" s="16" t="inlineStr">
        <is>
          <t>Edelweiss Mid Cap Fund-Reg(G)</t>
        </is>
      </c>
      <c r="B11" s="14" t="inlineStr">
        <is>
          <t>Mid Cap Fund</t>
        </is>
      </c>
      <c r="C11" s="15" t="n">
        <v>1.6</v>
      </c>
      <c r="D11" s="14" t="n">
        <v>0.9</v>
      </c>
      <c r="E11" s="14" t="n">
        <v>96.59999999999999</v>
      </c>
      <c r="F11" s="14" t="n">
        <v>86.7</v>
      </c>
      <c r="G11" s="14" t="n">
        <v>85.7</v>
      </c>
      <c r="H11" s="14" t="n">
        <v>57.1</v>
      </c>
      <c r="I11" s="14" t="n">
        <v>88.09999999999999</v>
      </c>
      <c r="J11" s="9" t="n">
        <v>83.09999999999999</v>
      </c>
      <c r="K11" s="14" t="n">
        <v>2</v>
      </c>
      <c r="L11" s="9" t="inlineStr">
        <is>
          <t>Strong Buy</t>
        </is>
      </c>
      <c r="M11" s="14" t="n">
        <v>95.2</v>
      </c>
      <c r="N11" s="14" t="n">
        <v>100</v>
      </c>
      <c r="O11" s="14" t="n">
        <v>95.2</v>
      </c>
      <c r="P11" s="14" t="n">
        <v>85.7</v>
      </c>
      <c r="Q11" s="14" t="n">
        <v>90.5</v>
      </c>
      <c r="R11" s="14" t="n">
        <v>81</v>
      </c>
      <c r="S11" s="14" t="n">
        <v>76.2</v>
      </c>
      <c r="T11" s="14" t="n">
        <v>1.21</v>
      </c>
      <c r="U11" s="34" t="inlineStr"/>
    </row>
    <row r="12" ht="30" customHeight="1">
      <c r="A12" s="11" t="inlineStr">
        <is>
          <t>Sundaram Mid Cap Fund-Reg(G)</t>
        </is>
      </c>
      <c r="B12" s="8" t="inlineStr">
        <is>
          <t>Mid Cap Fund</t>
        </is>
      </c>
      <c r="C12" s="10" t="n">
        <v>0.6</v>
      </c>
      <c r="D12" s="8" t="n">
        <v>-0.5</v>
      </c>
      <c r="E12" s="8" t="n">
        <v>82.40000000000001</v>
      </c>
      <c r="F12" s="8" t="n">
        <v>84.8</v>
      </c>
      <c r="G12" s="8" t="n">
        <v>83.40000000000001</v>
      </c>
      <c r="H12" s="8" t="n">
        <v>85.7</v>
      </c>
      <c r="I12" s="8" t="n">
        <v>66.7</v>
      </c>
      <c r="J12" s="9" t="n">
        <v>83.09999999999999</v>
      </c>
      <c r="K12" s="8" t="n">
        <v>2</v>
      </c>
      <c r="L12" s="9" t="inlineStr">
        <is>
          <t>Strong Buy</t>
        </is>
      </c>
      <c r="M12" s="8" t="n">
        <v>81</v>
      </c>
      <c r="N12" s="8" t="n">
        <v>82.40000000000001</v>
      </c>
      <c r="O12" s="8" t="n">
        <v>85.7</v>
      </c>
      <c r="P12" s="8" t="n">
        <v>95.2</v>
      </c>
      <c r="Q12" s="8" t="n">
        <v>81</v>
      </c>
      <c r="R12" s="8" t="n">
        <v>71.40000000000001</v>
      </c>
      <c r="S12" s="8" t="n">
        <v>81</v>
      </c>
      <c r="T12" s="8" t="n">
        <v>0.87</v>
      </c>
      <c r="U12" s="33" t="inlineStr"/>
    </row>
    <row r="13" ht="30" customHeight="1">
      <c r="A13" s="16" t="inlineStr">
        <is>
          <t>Edelweiss Small Cap Fund-Reg(G)</t>
        </is>
      </c>
      <c r="B13" s="14" t="inlineStr">
        <is>
          <t>Small cap Fund</t>
        </is>
      </c>
      <c r="C13" s="25" t="n">
        <v>-2.3</v>
      </c>
      <c r="D13" s="14" t="n">
        <v>0.3</v>
      </c>
      <c r="E13" s="14" t="n">
        <v>86.40000000000001</v>
      </c>
      <c r="F13" s="14" t="n">
        <v>74.3</v>
      </c>
      <c r="G13" s="14" t="n">
        <v>82.2</v>
      </c>
      <c r="H13" s="14" t="n">
        <v>85.7</v>
      </c>
      <c r="I13" s="14" t="n">
        <v>64.3</v>
      </c>
      <c r="J13" s="9" t="n">
        <v>81.09999999999999</v>
      </c>
      <c r="K13" s="14" t="n">
        <v>2</v>
      </c>
      <c r="L13" s="9" t="inlineStr">
        <is>
          <t>Strong Buy</t>
        </is>
      </c>
      <c r="M13" s="14" t="n">
        <v>85.7</v>
      </c>
      <c r="N13" s="14" t="n">
        <v>83.3</v>
      </c>
      <c r="O13" s="14" t="n">
        <v>92.90000000000001</v>
      </c>
      <c r="P13" s="14" t="n">
        <v>78.59999999999999</v>
      </c>
      <c r="Q13" s="14" t="n">
        <v>78.59999999999999</v>
      </c>
      <c r="R13" s="14" t="n">
        <v>57.1</v>
      </c>
      <c r="S13" s="14" t="n">
        <v>71.40000000000001</v>
      </c>
      <c r="T13" s="14" t="n">
        <v>1.36</v>
      </c>
      <c r="U13" s="34" t="inlineStr"/>
    </row>
    <row r="14" ht="30" customHeight="1">
      <c r="A14" s="11" t="inlineStr">
        <is>
          <t>Franklin India Flexi Cap Fund(G)</t>
        </is>
      </c>
      <c r="B14" s="8" t="inlineStr">
        <is>
          <t>Flexi Cap Fund</t>
        </is>
      </c>
      <c r="C14" s="10" t="n">
        <v>1.1</v>
      </c>
      <c r="D14" s="8" t="n">
        <v>1.5</v>
      </c>
      <c r="E14" s="8" t="n">
        <v>82.8</v>
      </c>
      <c r="F14" s="8" t="n">
        <v>76.2</v>
      </c>
      <c r="G14" s="8" t="n">
        <v>75</v>
      </c>
      <c r="H14" s="8" t="n">
        <v>88.5</v>
      </c>
      <c r="I14" s="8" t="n">
        <v>82.7</v>
      </c>
      <c r="J14" s="9" t="n">
        <v>80.3</v>
      </c>
      <c r="K14" s="8" t="n">
        <v>2</v>
      </c>
      <c r="L14" s="9" t="inlineStr">
        <is>
          <t>Strong Buy</t>
        </is>
      </c>
      <c r="M14" s="8" t="n">
        <v>76.90000000000001</v>
      </c>
      <c r="N14" s="8" t="n">
        <v>94.09999999999999</v>
      </c>
      <c r="O14" s="8" t="n">
        <v>80.8</v>
      </c>
      <c r="P14" s="8" t="n">
        <v>80.8</v>
      </c>
      <c r="Q14" s="8" t="n">
        <v>80.8</v>
      </c>
      <c r="R14" s="8" t="n">
        <v>57.7</v>
      </c>
      <c r="S14" s="8" t="n">
        <v>69.2</v>
      </c>
      <c r="T14" s="8" t="n">
        <v>0.8</v>
      </c>
      <c r="U14" s="33" t="inlineStr"/>
    </row>
    <row r="15" ht="30" customHeight="1">
      <c r="A15" s="16" t="inlineStr">
        <is>
          <t>Mahindra Manulife Mid Cap Fund-Reg(G)</t>
        </is>
      </c>
      <c r="B15" s="14" t="inlineStr">
        <is>
          <t>Mid Cap Fund</t>
        </is>
      </c>
      <c r="C15" s="15" t="n">
        <v>0.9</v>
      </c>
      <c r="D15" s="14" t="n">
        <v>0.3</v>
      </c>
      <c r="E15" s="14" t="n">
        <v>87.3</v>
      </c>
      <c r="F15" s="14" t="n">
        <v>80</v>
      </c>
      <c r="G15" s="14" t="n">
        <v>76.2</v>
      </c>
      <c r="H15" s="14" t="n">
        <v>71.40000000000001</v>
      </c>
      <c r="I15" s="14" t="n">
        <v>31</v>
      </c>
      <c r="J15" s="9" t="n">
        <v>76.7</v>
      </c>
      <c r="K15" s="14" t="n">
        <v>4</v>
      </c>
      <c r="L15" s="17" t="inlineStr">
        <is>
          <t>Buy</t>
        </is>
      </c>
      <c r="M15" s="14" t="n">
        <v>85.7</v>
      </c>
      <c r="N15" s="14" t="n">
        <v>94.09999999999999</v>
      </c>
      <c r="O15" s="14" t="n">
        <v>81</v>
      </c>
      <c r="P15" s="14" t="n">
        <v>81</v>
      </c>
      <c r="Q15" s="14" t="n">
        <v>85.7</v>
      </c>
      <c r="R15" s="14" t="n">
        <v>66.7</v>
      </c>
      <c r="S15" s="14" t="n">
        <v>71.40000000000001</v>
      </c>
      <c r="T15" s="14" t="n">
        <v>1.29</v>
      </c>
      <c r="U15" s="34" t="inlineStr"/>
    </row>
    <row r="16" ht="30" customHeight="1">
      <c r="A16" s="11" t="inlineStr">
        <is>
          <t>Edelweiss Flexi Cap Fund-Reg(G)</t>
        </is>
      </c>
      <c r="B16" s="8" t="inlineStr">
        <is>
          <t>Flexi Cap Fund</t>
        </is>
      </c>
      <c r="C16" s="10" t="n">
        <v>1.9</v>
      </c>
      <c r="D16" s="8" t="n">
        <v>1.2</v>
      </c>
      <c r="E16" s="8" t="n">
        <v>90.3</v>
      </c>
      <c r="F16" s="8" t="n">
        <v>76.09999999999999</v>
      </c>
      <c r="G16" s="8" t="n">
        <v>73.09999999999999</v>
      </c>
      <c r="H16" s="8" t="n">
        <v>57.7</v>
      </c>
      <c r="I16" s="8" t="n">
        <v>32.7</v>
      </c>
      <c r="J16" s="26" t="n">
        <v>73</v>
      </c>
      <c r="K16" s="8" t="n">
        <v>3</v>
      </c>
      <c r="L16" s="17" t="inlineStr">
        <is>
          <t>Buy</t>
        </is>
      </c>
      <c r="M16" s="8" t="n">
        <v>92.3</v>
      </c>
      <c r="N16" s="8" t="n">
        <v>88.2</v>
      </c>
      <c r="O16" s="8" t="n">
        <v>88.5</v>
      </c>
      <c r="P16" s="8" t="n">
        <v>76.90000000000001</v>
      </c>
      <c r="Q16" s="8" t="n">
        <v>76.90000000000001</v>
      </c>
      <c r="R16" s="8" t="n">
        <v>73.09999999999999</v>
      </c>
      <c r="S16" s="8" t="n">
        <v>57.7</v>
      </c>
      <c r="T16" s="8" t="n">
        <v>1.45</v>
      </c>
      <c r="U16" s="33" t="inlineStr"/>
    </row>
    <row r="17" ht="30" customHeight="1">
      <c r="A17" s="16" t="inlineStr">
        <is>
          <t>ITI Flexi Cap Fund-Reg(G)</t>
        </is>
      </c>
      <c r="B17" s="14" t="inlineStr">
        <is>
          <t>Flexi Cap Fund</t>
        </is>
      </c>
      <c r="C17" s="15" t="n">
        <v>4.3</v>
      </c>
      <c r="D17" s="14" t="inlineStr"/>
      <c r="E17" s="14" t="n">
        <v>96.2</v>
      </c>
      <c r="F17" s="14" t="n">
        <v>90.8</v>
      </c>
      <c r="G17" s="14" t="n">
        <v>78.8</v>
      </c>
      <c r="H17" s="14" t="n">
        <v>19.2</v>
      </c>
      <c r="I17" s="14" t="n">
        <v>19.2</v>
      </c>
      <c r="J17" s="26" t="n">
        <v>71.2</v>
      </c>
      <c r="K17" s="14" t="n">
        <v>4</v>
      </c>
      <c r="L17" s="17" t="inlineStr">
        <is>
          <t>Buy</t>
        </is>
      </c>
      <c r="M17" s="14" t="n">
        <v>96.2</v>
      </c>
      <c r="N17" s="14" t="inlineStr"/>
      <c r="O17" s="14" t="n">
        <v>96.2</v>
      </c>
      <c r="P17" s="14" t="n">
        <v>92.3</v>
      </c>
      <c r="Q17" s="14" t="n">
        <v>88.5</v>
      </c>
      <c r="R17" s="14" t="n">
        <v>92.3</v>
      </c>
      <c r="S17" s="14" t="n">
        <v>61.5</v>
      </c>
      <c r="T17" s="14" t="n">
        <v>1.61</v>
      </c>
      <c r="U17" s="34" t="inlineStr"/>
    </row>
    <row r="18" ht="30" customHeight="1">
      <c r="A18" s="11" t="inlineStr">
        <is>
          <t>Tata Flexi Cap Fund-Reg(G)</t>
        </is>
      </c>
      <c r="B18" s="8" t="inlineStr">
        <is>
          <t>Flexi Cap Fund</t>
        </is>
      </c>
      <c r="C18" s="27" t="n">
        <v>-0.2</v>
      </c>
      <c r="D18" s="8" t="n">
        <v>-1.9</v>
      </c>
      <c r="E18" s="8" t="n">
        <v>60.7</v>
      </c>
      <c r="F18" s="8" t="n">
        <v>68.40000000000001</v>
      </c>
      <c r="G18" s="8" t="n">
        <v>67.3</v>
      </c>
      <c r="H18" s="8" t="n">
        <v>100</v>
      </c>
      <c r="I18" s="8" t="n">
        <v>32.7</v>
      </c>
      <c r="J18" s="26" t="n">
        <v>70.7</v>
      </c>
      <c r="K18" s="8" t="n">
        <v>5</v>
      </c>
      <c r="L18" s="17" t="inlineStr">
        <is>
          <t>Buy</t>
        </is>
      </c>
      <c r="M18" s="8" t="n">
        <v>61.5</v>
      </c>
      <c r="N18" s="8" t="n">
        <v>58.8</v>
      </c>
      <c r="O18" s="8" t="n">
        <v>61.5</v>
      </c>
      <c r="P18" s="8" t="n">
        <v>69.2</v>
      </c>
      <c r="Q18" s="8" t="n">
        <v>84.59999999999999</v>
      </c>
      <c r="R18" s="8" t="n">
        <v>34.6</v>
      </c>
      <c r="S18" s="8" t="n">
        <v>73.09999999999999</v>
      </c>
      <c r="T18" s="8" t="n">
        <v>1.27</v>
      </c>
      <c r="U18" s="33" t="inlineStr"/>
    </row>
    <row r="19" ht="30" customHeight="1">
      <c r="A19" s="16" t="inlineStr">
        <is>
          <t>Motilal Oswal Flexi Cap Fund-Reg(G)</t>
        </is>
      </c>
      <c r="B19" s="14" t="inlineStr">
        <is>
          <t>Flexi Cap Fund</t>
        </is>
      </c>
      <c r="C19" s="15" t="n">
        <v>4.6</v>
      </c>
      <c r="D19" s="14" t="n">
        <v>-1.8</v>
      </c>
      <c r="E19" s="14" t="n">
        <v>89.40000000000001</v>
      </c>
      <c r="F19" s="14" t="n">
        <v>71.59999999999999</v>
      </c>
      <c r="G19" s="14" t="n">
        <v>82.7</v>
      </c>
      <c r="H19" s="14" t="n">
        <v>23.1</v>
      </c>
      <c r="I19" s="14" t="n">
        <v>76.90000000000001</v>
      </c>
      <c r="J19" s="26" t="n">
        <v>69.40000000000001</v>
      </c>
      <c r="K19" s="14" t="n">
        <v>6</v>
      </c>
      <c r="L19" s="17" t="inlineStr">
        <is>
          <t>Buy</t>
        </is>
      </c>
      <c r="M19" s="14" t="n">
        <v>100</v>
      </c>
      <c r="N19" s="14" t="n">
        <v>64.7</v>
      </c>
      <c r="O19" s="14" t="n">
        <v>100</v>
      </c>
      <c r="P19" s="14" t="n">
        <v>73.09999999999999</v>
      </c>
      <c r="Q19" s="14" t="n">
        <v>73.09999999999999</v>
      </c>
      <c r="R19" s="14" t="n">
        <v>65.40000000000001</v>
      </c>
      <c r="S19" s="14" t="n">
        <v>65.40000000000001</v>
      </c>
      <c r="T19" s="14" t="n">
        <v>0.9</v>
      </c>
      <c r="U19" s="34" t="inlineStr"/>
    </row>
    <row r="20" ht="30" customHeight="1">
      <c r="A20" s="11" t="inlineStr">
        <is>
          <t>Sundaram Small Cap Fund(G)</t>
        </is>
      </c>
      <c r="B20" s="8" t="inlineStr">
        <is>
          <t>Small cap Fund</t>
        </is>
      </c>
      <c r="C20" s="27" t="n">
        <v>-2.9</v>
      </c>
      <c r="D20" s="8" t="n">
        <v>-0.2</v>
      </c>
      <c r="E20" s="8" t="n">
        <v>75</v>
      </c>
      <c r="F20" s="8" t="n">
        <v>67.09999999999999</v>
      </c>
      <c r="G20" s="8" t="n">
        <v>71.40000000000001</v>
      </c>
      <c r="H20" s="8" t="n">
        <v>71.40000000000001</v>
      </c>
      <c r="I20" s="8" t="n">
        <v>28.6</v>
      </c>
      <c r="J20" s="26" t="n">
        <v>69.09999999999999</v>
      </c>
      <c r="K20" s="8" t="n">
        <v>3</v>
      </c>
      <c r="L20" s="17" t="inlineStr">
        <is>
          <t>Buy</t>
        </is>
      </c>
      <c r="M20" s="8" t="n">
        <v>78.59999999999999</v>
      </c>
      <c r="N20" s="8" t="n">
        <v>66.7</v>
      </c>
      <c r="O20" s="8" t="n">
        <v>78.59999999999999</v>
      </c>
      <c r="P20" s="8" t="n">
        <v>71.40000000000001</v>
      </c>
      <c r="Q20" s="8" t="n">
        <v>71.40000000000001</v>
      </c>
      <c r="R20" s="8" t="n">
        <v>50</v>
      </c>
      <c r="S20" s="8" t="n">
        <v>64.3</v>
      </c>
      <c r="T20" s="8" t="n">
        <v>1.11</v>
      </c>
      <c r="U20" s="33" t="inlineStr"/>
    </row>
    <row r="21" ht="30" customHeight="1">
      <c r="A21" s="16" t="inlineStr">
        <is>
          <t>Tata Mid Cap Fund-Reg(G)</t>
        </is>
      </c>
      <c r="B21" s="14" t="inlineStr">
        <is>
          <t>Mid Cap Fund</t>
        </is>
      </c>
      <c r="C21" s="25" t="n">
        <v>-2.1</v>
      </c>
      <c r="D21" s="14" t="n">
        <v>-2.4</v>
      </c>
      <c r="E21" s="14" t="n">
        <v>62.6</v>
      </c>
      <c r="F21" s="14" t="n">
        <v>63.8</v>
      </c>
      <c r="G21" s="14" t="n">
        <v>64.3</v>
      </c>
      <c r="H21" s="14" t="n">
        <v>90.5</v>
      </c>
      <c r="I21" s="14" t="n">
        <v>47.6</v>
      </c>
      <c r="J21" s="26" t="n">
        <v>68.2</v>
      </c>
      <c r="K21" s="14" t="n">
        <v>5</v>
      </c>
      <c r="L21" s="17" t="inlineStr">
        <is>
          <t>Buy</t>
        </is>
      </c>
      <c r="M21" s="14" t="n">
        <v>66.7</v>
      </c>
      <c r="N21" s="14" t="n">
        <v>52.9</v>
      </c>
      <c r="O21" s="14" t="n">
        <v>66.7</v>
      </c>
      <c r="P21" s="14" t="n">
        <v>66.7</v>
      </c>
      <c r="Q21" s="14" t="n">
        <v>71.40000000000001</v>
      </c>
      <c r="R21" s="14" t="n">
        <v>42.9</v>
      </c>
      <c r="S21" s="14" t="n">
        <v>61.9</v>
      </c>
      <c r="T21" s="14" t="n">
        <v>1.19</v>
      </c>
      <c r="U21" s="34" t="inlineStr"/>
    </row>
    <row r="22" ht="30" customHeight="1">
      <c r="A22" s="11" t="inlineStr">
        <is>
          <t>WOC Mid Cap Fund-Reg(G)</t>
        </is>
      </c>
      <c r="B22" s="8" t="inlineStr">
        <is>
          <t>Mid Cap Fund</t>
        </is>
      </c>
      <c r="C22" s="27" t="n">
        <v>-3.3</v>
      </c>
      <c r="D22" s="8" t="inlineStr"/>
      <c r="E22" s="8" t="n">
        <v>41.9</v>
      </c>
      <c r="F22" s="8" t="n">
        <v>98.09999999999999</v>
      </c>
      <c r="G22" s="8" t="n">
        <v>69</v>
      </c>
      <c r="H22" s="8" t="n">
        <v>66.7</v>
      </c>
      <c r="I22" s="8" t="n">
        <v>40.5</v>
      </c>
      <c r="J22" s="26" t="n">
        <v>67.59999999999999</v>
      </c>
      <c r="K22" s="8" t="n">
        <v>6</v>
      </c>
      <c r="L22" s="17" t="inlineStr">
        <is>
          <t>Buy</t>
        </is>
      </c>
      <c r="M22" s="8" t="n">
        <v>42.9</v>
      </c>
      <c r="N22" s="8" t="inlineStr"/>
      <c r="O22" s="8" t="n">
        <v>38.1</v>
      </c>
      <c r="P22" s="8" t="n">
        <v>100</v>
      </c>
      <c r="Q22" s="8" t="n">
        <v>95.2</v>
      </c>
      <c r="R22" s="8" t="n">
        <v>100</v>
      </c>
      <c r="S22" s="8" t="n">
        <v>100</v>
      </c>
      <c r="T22" s="8" t="n">
        <v>1.26</v>
      </c>
      <c r="U22" s="33" t="inlineStr"/>
    </row>
    <row r="23" ht="30" customHeight="1">
      <c r="A23" s="16" t="inlineStr">
        <is>
          <t>HDFC Large Cap Fund(G)</t>
        </is>
      </c>
      <c r="B23" s="14" t="inlineStr">
        <is>
          <t>Large Cap Fund</t>
        </is>
      </c>
      <c r="C23" s="15" t="n">
        <v>0.3</v>
      </c>
      <c r="D23" s="14" t="n">
        <v>1.9</v>
      </c>
      <c r="E23" s="14" t="n">
        <v>74.7</v>
      </c>
      <c r="F23" s="14" t="n">
        <v>60</v>
      </c>
      <c r="G23" s="14" t="n">
        <v>63.4</v>
      </c>
      <c r="H23" s="14" t="n">
        <v>73.3</v>
      </c>
      <c r="I23" s="14" t="n">
        <v>66.7</v>
      </c>
      <c r="J23" s="26" t="n">
        <v>67.5</v>
      </c>
      <c r="K23" s="14" t="n">
        <v>3</v>
      </c>
      <c r="L23" s="17" t="inlineStr">
        <is>
          <t>Buy</t>
        </is>
      </c>
      <c r="M23" s="14" t="n">
        <v>66.7</v>
      </c>
      <c r="N23" s="14" t="n">
        <v>93.3</v>
      </c>
      <c r="O23" s="14" t="n">
        <v>66.7</v>
      </c>
      <c r="P23" s="14" t="n">
        <v>66.7</v>
      </c>
      <c r="Q23" s="14" t="n">
        <v>60</v>
      </c>
      <c r="R23" s="14" t="n">
        <v>46.7</v>
      </c>
      <c r="S23" s="14" t="n">
        <v>60</v>
      </c>
      <c r="T23" s="14" t="n">
        <v>0.58</v>
      </c>
      <c r="U23" s="34" t="inlineStr"/>
    </row>
    <row r="24" ht="30" customHeight="1">
      <c r="A24" s="11" t="inlineStr">
        <is>
          <t>Nippon India Large Cap Fund(G)</t>
        </is>
      </c>
      <c r="B24" s="8" t="inlineStr">
        <is>
          <t>Large Cap Fund</t>
        </is>
      </c>
      <c r="C24" s="27" t="n">
        <v>-2.5</v>
      </c>
      <c r="D24" s="8" t="n">
        <v>-5.2</v>
      </c>
      <c r="E24" s="8" t="n">
        <v>24</v>
      </c>
      <c r="F24" s="8" t="n">
        <v>94.59999999999999</v>
      </c>
      <c r="G24" s="8" t="n">
        <v>66.59999999999999</v>
      </c>
      <c r="H24" s="8" t="n">
        <v>80</v>
      </c>
      <c r="I24" s="8" t="n">
        <v>90</v>
      </c>
      <c r="J24" s="26" t="n">
        <v>66.8</v>
      </c>
      <c r="K24" s="8" t="n">
        <v>4</v>
      </c>
      <c r="L24" s="17" t="inlineStr">
        <is>
          <t>Buy</t>
        </is>
      </c>
      <c r="M24" s="8" t="n">
        <v>20</v>
      </c>
      <c r="N24" s="8" t="n">
        <v>20</v>
      </c>
      <c r="O24" s="8" t="n">
        <v>40</v>
      </c>
      <c r="P24" s="8" t="n">
        <v>93.3</v>
      </c>
      <c r="Q24" s="8" t="n">
        <v>93.3</v>
      </c>
      <c r="R24" s="8" t="n">
        <v>100</v>
      </c>
      <c r="S24" s="8" t="n">
        <v>93.3</v>
      </c>
      <c r="T24" s="8" t="n">
        <v>0.82</v>
      </c>
      <c r="U24" s="33" t="inlineStr"/>
    </row>
    <row r="25" ht="30" customHeight="1">
      <c r="A25" s="16" t="inlineStr">
        <is>
          <t>Bandhan Large Cap Fund-Reg(G)</t>
        </is>
      </c>
      <c r="B25" s="14" t="inlineStr">
        <is>
          <t>Large Cap Fund</t>
        </is>
      </c>
      <c r="C25" s="15" t="n">
        <v>3.4</v>
      </c>
      <c r="D25" s="14" t="n">
        <v>0.8</v>
      </c>
      <c r="E25" s="14" t="n">
        <v>90.59999999999999</v>
      </c>
      <c r="F25" s="14" t="n">
        <v>82.7</v>
      </c>
      <c r="G25" s="14" t="n">
        <v>90</v>
      </c>
      <c r="H25" s="14" t="n">
        <v>0</v>
      </c>
      <c r="I25" s="14" t="n">
        <v>0</v>
      </c>
      <c r="J25" s="26" t="n">
        <v>65.8</v>
      </c>
      <c r="K25" s="14" t="n">
        <v>5</v>
      </c>
      <c r="L25" s="17" t="inlineStr">
        <is>
          <t>Buy</t>
        </is>
      </c>
      <c r="M25" s="14" t="n">
        <v>93.3</v>
      </c>
      <c r="N25" s="14" t="n">
        <v>80</v>
      </c>
      <c r="O25" s="14" t="n">
        <v>100</v>
      </c>
      <c r="P25" s="14" t="n">
        <v>80</v>
      </c>
      <c r="Q25" s="14" t="n">
        <v>80</v>
      </c>
      <c r="R25" s="14" t="n">
        <v>93.3</v>
      </c>
      <c r="S25" s="14" t="n">
        <v>80</v>
      </c>
      <c r="T25" s="14" t="n">
        <v>1.16</v>
      </c>
      <c r="U25" s="34" t="inlineStr"/>
    </row>
    <row r="26" ht="30" customHeight="1">
      <c r="A26" s="11" t="inlineStr">
        <is>
          <t>Baroda BNP Paribas Mid Cap Fund-Reg(G)</t>
        </is>
      </c>
      <c r="B26" s="8" t="inlineStr">
        <is>
          <t>Mid Cap Fund</t>
        </is>
      </c>
      <c r="C26" s="27" t="n">
        <v>-2.3</v>
      </c>
      <c r="D26" s="8" t="n">
        <v>-2.2</v>
      </c>
      <c r="E26" s="8" t="n">
        <v>58.1</v>
      </c>
      <c r="F26" s="8" t="n">
        <v>61</v>
      </c>
      <c r="G26" s="8" t="n">
        <v>57.2</v>
      </c>
      <c r="H26" s="8" t="n">
        <v>100</v>
      </c>
      <c r="I26" s="8" t="n">
        <v>19</v>
      </c>
      <c r="J26" s="26" t="n">
        <v>65</v>
      </c>
      <c r="K26" s="8" t="n">
        <v>7</v>
      </c>
      <c r="L26" s="17" t="inlineStr">
        <is>
          <t>Buy</t>
        </is>
      </c>
      <c r="M26" s="8" t="n">
        <v>61.9</v>
      </c>
      <c r="N26" s="8" t="n">
        <v>58.8</v>
      </c>
      <c r="O26" s="8" t="n">
        <v>47.6</v>
      </c>
      <c r="P26" s="8" t="n">
        <v>71.40000000000001</v>
      </c>
      <c r="Q26" s="8" t="n">
        <v>66.7</v>
      </c>
      <c r="R26" s="8" t="n">
        <v>28.6</v>
      </c>
      <c r="S26" s="8" t="n">
        <v>66.7</v>
      </c>
      <c r="T26" s="8" t="n">
        <v>1.44</v>
      </c>
      <c r="U26" s="33" t="inlineStr"/>
    </row>
    <row r="27" ht="30" customHeight="1">
      <c r="A27" s="16" t="inlineStr">
        <is>
          <t>WOC Flexi Cap Fund-Reg(G)</t>
        </is>
      </c>
      <c r="B27" s="14" t="inlineStr">
        <is>
          <t>Flexi Cap Fund</t>
        </is>
      </c>
      <c r="C27" s="25" t="n">
        <v>-2.8</v>
      </c>
      <c r="D27" s="14" t="inlineStr"/>
      <c r="E27" s="14" t="n">
        <v>30.8</v>
      </c>
      <c r="F27" s="14" t="n">
        <v>97</v>
      </c>
      <c r="G27" s="14" t="n">
        <v>63.5</v>
      </c>
      <c r="H27" s="14" t="n">
        <v>69.2</v>
      </c>
      <c r="I27" s="14" t="n">
        <v>61.5</v>
      </c>
      <c r="J27" s="26" t="n">
        <v>64.7</v>
      </c>
      <c r="K27" s="14" t="n">
        <v>7</v>
      </c>
      <c r="L27" s="18" t="inlineStr">
        <is>
          <t>Hold</t>
        </is>
      </c>
      <c r="M27" s="14" t="n">
        <v>30.8</v>
      </c>
      <c r="N27" s="14" t="inlineStr"/>
      <c r="O27" s="14" t="n">
        <v>30.8</v>
      </c>
      <c r="P27" s="14" t="n">
        <v>96.2</v>
      </c>
      <c r="Q27" s="14" t="n">
        <v>96.2</v>
      </c>
      <c r="R27" s="14" t="n">
        <v>100</v>
      </c>
      <c r="S27" s="14" t="n">
        <v>96.2</v>
      </c>
      <c r="T27" s="14" t="n">
        <v>1.2</v>
      </c>
      <c r="U27" s="34" t="inlineStr"/>
    </row>
    <row r="28" ht="30" customHeight="1">
      <c r="A28" s="11" t="inlineStr">
        <is>
          <t>Invesco India Smallcap Fund-Reg(G)</t>
        </is>
      </c>
      <c r="B28" s="8" t="inlineStr">
        <is>
          <t>Small cap Fund</t>
        </is>
      </c>
      <c r="C28" s="27" t="n">
        <v>-4.6</v>
      </c>
      <c r="D28" s="8" t="n">
        <v>-11.2</v>
      </c>
      <c r="E28" s="8" t="n">
        <v>47.8</v>
      </c>
      <c r="F28" s="8" t="n">
        <v>91.40000000000001</v>
      </c>
      <c r="G28" s="8" t="n">
        <v>85.7</v>
      </c>
      <c r="H28" s="8" t="n">
        <v>14.3</v>
      </c>
      <c r="I28" s="8" t="n">
        <v>89.3</v>
      </c>
      <c r="J28" s="26" t="n">
        <v>63.6</v>
      </c>
      <c r="K28" s="8" t="n">
        <v>4</v>
      </c>
      <c r="L28" s="18" t="inlineStr">
        <is>
          <t>Hold</t>
        </is>
      </c>
      <c r="M28" s="8" t="n">
        <v>57.1</v>
      </c>
      <c r="N28" s="8" t="n">
        <v>16.7</v>
      </c>
      <c r="O28" s="8" t="n">
        <v>71.40000000000001</v>
      </c>
      <c r="P28" s="8" t="n">
        <v>92.90000000000001</v>
      </c>
      <c r="Q28" s="8" t="n">
        <v>85.7</v>
      </c>
      <c r="R28" s="8" t="n">
        <v>100</v>
      </c>
      <c r="S28" s="8" t="n">
        <v>100</v>
      </c>
      <c r="T28" s="8" t="n">
        <v>1.3</v>
      </c>
      <c r="U28" s="33" t="inlineStr"/>
    </row>
    <row r="29" ht="30" customHeight="1">
      <c r="A29" s="16" t="inlineStr">
        <is>
          <t>Mirae Asset Flexi Cap Fund-Reg(G)</t>
        </is>
      </c>
      <c r="B29" s="14" t="inlineStr">
        <is>
          <t>Flexi Cap Fund</t>
        </is>
      </c>
      <c r="C29" s="25" t="n">
        <v>-0.2</v>
      </c>
      <c r="D29" s="14" t="inlineStr"/>
      <c r="E29" s="14" t="n">
        <v>65.40000000000001</v>
      </c>
      <c r="F29" s="14" t="n">
        <v>60</v>
      </c>
      <c r="G29" s="14" t="n">
        <v>57.7</v>
      </c>
      <c r="H29" s="14" t="n">
        <v>76.90000000000001</v>
      </c>
      <c r="I29" s="14" t="n">
        <v>38.5</v>
      </c>
      <c r="J29" s="26" t="n">
        <v>63.1</v>
      </c>
      <c r="K29" s="14" t="n">
        <v>8</v>
      </c>
      <c r="L29" s="18" t="inlineStr">
        <is>
          <t>Hold</t>
        </is>
      </c>
      <c r="M29" s="14" t="n">
        <v>65.40000000000001</v>
      </c>
      <c r="N29" s="14" t="inlineStr"/>
      <c r="O29" s="14" t="n">
        <v>65.40000000000001</v>
      </c>
      <c r="P29" s="14" t="n">
        <v>61.5</v>
      </c>
      <c r="Q29" s="14" t="n">
        <v>69.2</v>
      </c>
      <c r="R29" s="14" t="n">
        <v>38.5</v>
      </c>
      <c r="S29" s="14" t="n">
        <v>50</v>
      </c>
      <c r="T29" s="14" t="n">
        <v>1.43</v>
      </c>
      <c r="U29" s="34" t="inlineStr"/>
    </row>
    <row r="30" ht="30" customHeight="1">
      <c r="A30" s="11" t="inlineStr">
        <is>
          <t>Bank of India Flexi Cap Fund-Reg(G)</t>
        </is>
      </c>
      <c r="B30" s="8" t="inlineStr">
        <is>
          <t>Flexi Cap Fund</t>
        </is>
      </c>
      <c r="C30" s="10" t="n">
        <v>0.8</v>
      </c>
      <c r="D30" s="8" t="n">
        <v>-5</v>
      </c>
      <c r="E30" s="8" t="n">
        <v>61.8</v>
      </c>
      <c r="F30" s="8" t="n">
        <v>88.5</v>
      </c>
      <c r="G30" s="8" t="n">
        <v>86.59999999999999</v>
      </c>
      <c r="H30" s="8" t="n">
        <v>11.5</v>
      </c>
      <c r="I30" s="8" t="n">
        <v>26.9</v>
      </c>
      <c r="J30" s="26" t="n">
        <v>62.9</v>
      </c>
      <c r="K30" s="8" t="n">
        <v>9</v>
      </c>
      <c r="L30" s="18" t="inlineStr">
        <is>
          <t>Hold</t>
        </is>
      </c>
      <c r="M30" s="8" t="n">
        <v>73.09999999999999</v>
      </c>
      <c r="N30" s="8" t="n">
        <v>35.3</v>
      </c>
      <c r="O30" s="8" t="n">
        <v>73.09999999999999</v>
      </c>
      <c r="P30" s="8" t="n">
        <v>84.59999999999999</v>
      </c>
      <c r="Q30" s="8" t="n">
        <v>92.3</v>
      </c>
      <c r="R30" s="8" t="n">
        <v>88.5</v>
      </c>
      <c r="S30" s="8" t="n">
        <v>100</v>
      </c>
      <c r="T30" s="8" t="n">
        <v>1.4</v>
      </c>
      <c r="U30" s="33" t="inlineStr"/>
    </row>
    <row r="31" ht="30" customHeight="1">
      <c r="A31" s="16" t="inlineStr">
        <is>
          <t>Baroda BNP Paribas Large Cap Fund-Reg(G)</t>
        </is>
      </c>
      <c r="B31" s="14" t="inlineStr">
        <is>
          <t>Large Cap Fund</t>
        </is>
      </c>
      <c r="C31" s="15" t="n">
        <v>1</v>
      </c>
      <c r="D31" s="14" t="n">
        <v>0.7</v>
      </c>
      <c r="E31" s="14" t="n">
        <v>78</v>
      </c>
      <c r="F31" s="14" t="n">
        <v>72</v>
      </c>
      <c r="G31" s="14" t="n">
        <v>66.59999999999999</v>
      </c>
      <c r="H31" s="14" t="n">
        <v>40</v>
      </c>
      <c r="I31" s="14" t="n">
        <v>13.3</v>
      </c>
      <c r="J31" s="26" t="n">
        <v>62.8</v>
      </c>
      <c r="K31" s="14" t="n">
        <v>6</v>
      </c>
      <c r="L31" s="18" t="inlineStr">
        <is>
          <t>Hold</t>
        </is>
      </c>
      <c r="M31" s="14" t="n">
        <v>80</v>
      </c>
      <c r="N31" s="14" t="n">
        <v>73.3</v>
      </c>
      <c r="O31" s="14" t="n">
        <v>80</v>
      </c>
      <c r="P31" s="14" t="n">
        <v>73.3</v>
      </c>
      <c r="Q31" s="14" t="n">
        <v>73.3</v>
      </c>
      <c r="R31" s="14" t="n">
        <v>66.7</v>
      </c>
      <c r="S31" s="14" t="n">
        <v>53.3</v>
      </c>
      <c r="T31" s="14" t="n">
        <v>1.16</v>
      </c>
      <c r="U31" s="34" t="inlineStr"/>
    </row>
    <row r="32" ht="30" customHeight="1">
      <c r="A32" s="11" t="inlineStr">
        <is>
          <t>Bank of India Small Cap Fund-Reg(G)</t>
        </is>
      </c>
      <c r="B32" s="8" t="inlineStr">
        <is>
          <t>Small cap Fund</t>
        </is>
      </c>
      <c r="C32" s="27" t="n">
        <v>-1.8</v>
      </c>
      <c r="D32" s="8" t="n">
        <v>0.8</v>
      </c>
      <c r="E32" s="8" t="n">
        <v>93.59999999999999</v>
      </c>
      <c r="F32" s="8" t="n">
        <v>47.1</v>
      </c>
      <c r="G32" s="8" t="n">
        <v>64.3</v>
      </c>
      <c r="H32" s="8" t="n">
        <v>35.7</v>
      </c>
      <c r="I32" s="8" t="n">
        <v>21.4</v>
      </c>
      <c r="J32" s="26" t="n">
        <v>59.5</v>
      </c>
      <c r="K32" s="8" t="n">
        <v>5</v>
      </c>
      <c r="L32" s="18" t="inlineStr">
        <is>
          <t>Hold</t>
        </is>
      </c>
      <c r="M32" s="8" t="n">
        <v>92.90000000000001</v>
      </c>
      <c r="N32" s="8" t="n">
        <v>100</v>
      </c>
      <c r="O32" s="8" t="n">
        <v>85.7</v>
      </c>
      <c r="P32" s="8" t="n">
        <v>57.1</v>
      </c>
      <c r="Q32" s="8" t="n">
        <v>28.6</v>
      </c>
      <c r="R32" s="8" t="n">
        <v>64.3</v>
      </c>
      <c r="S32" s="8" t="n">
        <v>42.9</v>
      </c>
      <c r="T32" s="8" t="n">
        <v>1.44</v>
      </c>
      <c r="U32" s="33" t="inlineStr"/>
    </row>
    <row r="33" ht="30" customHeight="1">
      <c r="A33" s="16" t="inlineStr">
        <is>
          <t>Mahindra Manulife Small Cap Fund-Reg(G)</t>
        </is>
      </c>
      <c r="B33" s="14" t="inlineStr">
        <is>
          <t>Small cap Fund</t>
        </is>
      </c>
      <c r="C33" s="25" t="n">
        <v>-5</v>
      </c>
      <c r="D33" s="14" t="inlineStr"/>
      <c r="E33" s="14" t="n">
        <v>45.7</v>
      </c>
      <c r="F33" s="14" t="n">
        <v>90</v>
      </c>
      <c r="G33" s="14" t="n">
        <v>75</v>
      </c>
      <c r="H33" s="14" t="n">
        <v>7.1</v>
      </c>
      <c r="I33" s="14" t="n">
        <v>42.9</v>
      </c>
      <c r="J33" s="26" t="n">
        <v>56.2</v>
      </c>
      <c r="K33" s="14" t="n">
        <v>6</v>
      </c>
      <c r="L33" s="18" t="inlineStr">
        <is>
          <t>Hold</t>
        </is>
      </c>
      <c r="M33" s="14" t="n">
        <v>42.9</v>
      </c>
      <c r="N33" s="14" t="inlineStr"/>
      <c r="O33" s="14" t="n">
        <v>57.1</v>
      </c>
      <c r="P33" s="14" t="n">
        <v>85.7</v>
      </c>
      <c r="Q33" s="14" t="n">
        <v>92.90000000000001</v>
      </c>
      <c r="R33" s="14" t="n">
        <v>92.90000000000001</v>
      </c>
      <c r="S33" s="14" t="n">
        <v>92.90000000000001</v>
      </c>
      <c r="T33" s="14" t="n">
        <v>1.33</v>
      </c>
      <c r="U33" s="34" t="inlineStr"/>
    </row>
    <row r="34" ht="30" customHeight="1">
      <c r="A34" s="11" t="inlineStr">
        <is>
          <t>HSBC Midcap Fund-Reg(G)</t>
        </is>
      </c>
      <c r="B34" s="8" t="inlineStr">
        <is>
          <t>Mid Cap Fund</t>
        </is>
      </c>
      <c r="C34" s="10" t="n">
        <v>1.1</v>
      </c>
      <c r="D34" s="8" t="n">
        <v>-1.7</v>
      </c>
      <c r="E34" s="8" t="n">
        <v>84.5</v>
      </c>
      <c r="F34" s="8" t="n">
        <v>47.6</v>
      </c>
      <c r="G34" s="8" t="n">
        <v>66.7</v>
      </c>
      <c r="H34" s="8" t="n">
        <v>14.3</v>
      </c>
      <c r="I34" s="8" t="n">
        <v>71.40000000000001</v>
      </c>
      <c r="J34" s="26" t="n">
        <v>56.1</v>
      </c>
      <c r="K34" s="8" t="n">
        <v>8</v>
      </c>
      <c r="L34" s="18" t="inlineStr">
        <is>
          <t>Hold</t>
        </is>
      </c>
      <c r="M34" s="8" t="n">
        <v>90.5</v>
      </c>
      <c r="N34" s="8" t="n">
        <v>70.59999999999999</v>
      </c>
      <c r="O34" s="8" t="n">
        <v>90.5</v>
      </c>
      <c r="P34" s="8" t="n">
        <v>57.1</v>
      </c>
      <c r="Q34" s="8" t="n">
        <v>23.8</v>
      </c>
      <c r="R34" s="8" t="n">
        <v>76.2</v>
      </c>
      <c r="S34" s="8" t="n">
        <v>42.9</v>
      </c>
      <c r="T34" s="8" t="n">
        <v>1.07</v>
      </c>
      <c r="U34" s="33" t="inlineStr"/>
    </row>
    <row r="35" ht="30" customHeight="1">
      <c r="A35" s="16" t="inlineStr">
        <is>
          <t>Kotak Large Cap Fund(IDCW)</t>
        </is>
      </c>
      <c r="B35" s="14" t="inlineStr">
        <is>
          <t>Large Cap Fund</t>
        </is>
      </c>
      <c r="C35" s="15" t="n">
        <v>0.3</v>
      </c>
      <c r="D35" s="14" t="n">
        <v>0.1</v>
      </c>
      <c r="E35" s="14" t="n">
        <v>67.3</v>
      </c>
      <c r="F35" s="14" t="n">
        <v>61.3</v>
      </c>
      <c r="G35" s="14" t="n">
        <v>60</v>
      </c>
      <c r="H35" s="14" t="n">
        <v>33.3</v>
      </c>
      <c r="I35" s="14" t="n">
        <v>46.7</v>
      </c>
      <c r="J35" s="26" t="n">
        <v>56.1</v>
      </c>
      <c r="K35" s="14" t="n">
        <v>7</v>
      </c>
      <c r="L35" s="18" t="inlineStr">
        <is>
          <t>Hold</t>
        </is>
      </c>
      <c r="M35" s="14" t="n">
        <v>73.3</v>
      </c>
      <c r="N35" s="14" t="n">
        <v>53.3</v>
      </c>
      <c r="O35" s="14" t="n">
        <v>73.3</v>
      </c>
      <c r="P35" s="14" t="n">
        <v>60</v>
      </c>
      <c r="Q35" s="14" t="n">
        <v>66.7</v>
      </c>
      <c r="R35" s="14" t="n">
        <v>53.3</v>
      </c>
      <c r="S35" s="14" t="n">
        <v>46.7</v>
      </c>
      <c r="T35" s="14" t="n">
        <v>1.1</v>
      </c>
      <c r="U35" s="34" t="inlineStr"/>
    </row>
    <row r="36" ht="30" customHeight="1">
      <c r="A36" s="11" t="inlineStr">
        <is>
          <t>HSBC Flexi Cap Fund-Reg(G)</t>
        </is>
      </c>
      <c r="B36" s="8" t="inlineStr">
        <is>
          <t>Flexi Cap Fund</t>
        </is>
      </c>
      <c r="C36" s="10" t="n">
        <v>1.6</v>
      </c>
      <c r="D36" s="8" t="n">
        <v>0.6</v>
      </c>
      <c r="E36" s="8" t="n">
        <v>85.5</v>
      </c>
      <c r="F36" s="8" t="n">
        <v>55.3</v>
      </c>
      <c r="G36" s="8" t="n">
        <v>65.40000000000001</v>
      </c>
      <c r="H36" s="8" t="n">
        <v>15.4</v>
      </c>
      <c r="I36" s="8" t="n">
        <v>23.1</v>
      </c>
      <c r="J36" s="26" t="n">
        <v>55.8</v>
      </c>
      <c r="K36" s="8" t="n">
        <v>10</v>
      </c>
      <c r="L36" s="18" t="inlineStr">
        <is>
          <t>Hold</t>
        </is>
      </c>
      <c r="M36" s="8" t="n">
        <v>84.59999999999999</v>
      </c>
      <c r="N36" s="8" t="n">
        <v>82.40000000000001</v>
      </c>
      <c r="O36" s="8" t="n">
        <v>92.3</v>
      </c>
      <c r="P36" s="8" t="n">
        <v>53.8</v>
      </c>
      <c r="Q36" s="8" t="n">
        <v>53.8</v>
      </c>
      <c r="R36" s="8" t="n">
        <v>61.5</v>
      </c>
      <c r="S36" s="8" t="n">
        <v>38.5</v>
      </c>
      <c r="T36" s="8" t="n">
        <v>0.73</v>
      </c>
      <c r="U36" s="33" t="inlineStr"/>
    </row>
    <row r="37" ht="30" customHeight="1">
      <c r="A37" s="16" t="inlineStr">
        <is>
          <t>ICICI Pru Flexicap Fund(G)</t>
        </is>
      </c>
      <c r="B37" s="14" t="inlineStr">
        <is>
          <t>Flexi Cap Fund</t>
        </is>
      </c>
      <c r="C37" s="25" t="n">
        <v>-3.5</v>
      </c>
      <c r="D37" s="14" t="inlineStr"/>
      <c r="E37" s="14" t="n">
        <v>23.9</v>
      </c>
      <c r="F37" s="14" t="n">
        <v>80.8</v>
      </c>
      <c r="G37" s="14" t="n">
        <v>59.6</v>
      </c>
      <c r="H37" s="14" t="n">
        <v>50</v>
      </c>
      <c r="I37" s="14" t="n">
        <v>92.3</v>
      </c>
      <c r="J37" s="26" t="n">
        <v>55.7</v>
      </c>
      <c r="K37" s="14" t="n">
        <v>11</v>
      </c>
      <c r="L37" s="18" t="inlineStr">
        <is>
          <t>Hold</t>
        </is>
      </c>
      <c r="M37" s="14" t="n">
        <v>23.1</v>
      </c>
      <c r="N37" s="14" t="inlineStr"/>
      <c r="O37" s="14" t="n">
        <v>26.9</v>
      </c>
      <c r="P37" s="14" t="n">
        <v>88.5</v>
      </c>
      <c r="Q37" s="14" t="n">
        <v>65.40000000000001</v>
      </c>
      <c r="R37" s="14" t="n">
        <v>96.2</v>
      </c>
      <c r="S37" s="14" t="n">
        <v>92.3</v>
      </c>
      <c r="T37" s="14" t="n">
        <v>0.89</v>
      </c>
      <c r="U37" s="34" t="inlineStr"/>
    </row>
    <row r="38" ht="30" customHeight="1">
      <c r="A38" s="11" t="inlineStr">
        <is>
          <t>ICICI Pru Smallcap Fund(G)</t>
        </is>
      </c>
      <c r="B38" s="8" t="inlineStr">
        <is>
          <t>Small cap Fund</t>
        </is>
      </c>
      <c r="C38" s="27" t="n">
        <v>-6.5</v>
      </c>
      <c r="D38" s="8" t="n">
        <v>-1.3</v>
      </c>
      <c r="E38" s="8" t="n">
        <v>36.4</v>
      </c>
      <c r="F38" s="8" t="n">
        <v>44.3</v>
      </c>
      <c r="G38" s="8" t="n">
        <v>46.4</v>
      </c>
      <c r="H38" s="8" t="n">
        <v>100</v>
      </c>
      <c r="I38" s="8" t="n">
        <v>71.40000000000001</v>
      </c>
      <c r="J38" s="26" t="n">
        <v>55.3</v>
      </c>
      <c r="K38" s="8" t="n">
        <v>7</v>
      </c>
      <c r="L38" s="18" t="inlineStr">
        <is>
          <t>Hold</t>
        </is>
      </c>
      <c r="M38" s="8" t="n">
        <v>28.6</v>
      </c>
      <c r="N38" s="8" t="n">
        <v>50</v>
      </c>
      <c r="O38" s="8" t="n">
        <v>35.7</v>
      </c>
      <c r="P38" s="8" t="n">
        <v>35.7</v>
      </c>
      <c r="Q38" s="8" t="n">
        <v>64.3</v>
      </c>
      <c r="R38" s="8" t="n">
        <v>21.4</v>
      </c>
      <c r="S38" s="8" t="n">
        <v>57.1</v>
      </c>
      <c r="T38" s="8" t="n">
        <v>1.01</v>
      </c>
      <c r="U38" s="33" t="inlineStr"/>
    </row>
    <row r="39" ht="30" customHeight="1">
      <c r="A39" s="16" t="inlineStr">
        <is>
          <t>DSP Flexi Cap Fund-Reg(IDCW)</t>
        </is>
      </c>
      <c r="B39" s="14" t="inlineStr">
        <is>
          <t>Flexi Cap Fund</t>
        </is>
      </c>
      <c r="C39" s="15" t="n">
        <v>0.2</v>
      </c>
      <c r="D39" s="14" t="n">
        <v>-1.4</v>
      </c>
      <c r="E39" s="14" t="n">
        <v>69.59999999999999</v>
      </c>
      <c r="F39" s="14" t="n">
        <v>47.7</v>
      </c>
      <c r="G39" s="14" t="n">
        <v>51.9</v>
      </c>
      <c r="H39" s="14" t="n">
        <v>46.2</v>
      </c>
      <c r="I39" s="14" t="n">
        <v>71.2</v>
      </c>
      <c r="J39" s="26" t="n">
        <v>55.1</v>
      </c>
      <c r="K39" s="14" t="n">
        <v>12</v>
      </c>
      <c r="L39" s="18" t="inlineStr">
        <is>
          <t>Hold</t>
        </is>
      </c>
      <c r="M39" s="14" t="n">
        <v>69.2</v>
      </c>
      <c r="N39" s="14" t="n">
        <v>70.59999999999999</v>
      </c>
      <c r="O39" s="14" t="n">
        <v>69.2</v>
      </c>
      <c r="P39" s="14" t="n">
        <v>46.2</v>
      </c>
      <c r="Q39" s="14" t="n">
        <v>50</v>
      </c>
      <c r="R39" s="14" t="n">
        <v>46.2</v>
      </c>
      <c r="S39" s="14" t="n">
        <v>34.6</v>
      </c>
      <c r="T39" s="14" t="n">
        <v>1.03</v>
      </c>
      <c r="U39" s="34" t="inlineStr"/>
    </row>
    <row r="40" ht="30" customHeight="1">
      <c r="A40" s="11" t="inlineStr">
        <is>
          <t>ITI Mid Cap Fund-Reg(G)</t>
        </is>
      </c>
      <c r="B40" s="8" t="inlineStr">
        <is>
          <t>Mid Cap Fund</t>
        </is>
      </c>
      <c r="C40" s="27" t="n">
        <v>0</v>
      </c>
      <c r="D40" s="8" t="n">
        <v>-3.9</v>
      </c>
      <c r="E40" s="8" t="n">
        <v>62.2</v>
      </c>
      <c r="F40" s="8" t="n">
        <v>61.9</v>
      </c>
      <c r="G40" s="8" t="n">
        <v>61.9</v>
      </c>
      <c r="H40" s="8" t="n">
        <v>33.3</v>
      </c>
      <c r="I40" s="8" t="n">
        <v>14.3</v>
      </c>
      <c r="J40" s="26" t="n">
        <v>53.9</v>
      </c>
      <c r="K40" s="8" t="n">
        <v>9</v>
      </c>
      <c r="L40" s="18" t="inlineStr">
        <is>
          <t>Hold</t>
        </is>
      </c>
      <c r="M40" s="8" t="n">
        <v>76.2</v>
      </c>
      <c r="N40" s="8" t="n">
        <v>29.4</v>
      </c>
      <c r="O40" s="8" t="n">
        <v>76.2</v>
      </c>
      <c r="P40" s="8" t="n">
        <v>61.9</v>
      </c>
      <c r="Q40" s="8" t="n">
        <v>61.9</v>
      </c>
      <c r="R40" s="8" t="n">
        <v>61.9</v>
      </c>
      <c r="S40" s="8" t="n">
        <v>47.6</v>
      </c>
      <c r="T40" s="8" t="n">
        <v>1.71</v>
      </c>
      <c r="U40" s="33" t="inlineStr"/>
    </row>
    <row r="41" ht="30" customHeight="1">
      <c r="A41" s="16" t="inlineStr">
        <is>
          <t>Franklin India Small Cap Fund(G)</t>
        </is>
      </c>
      <c r="B41" s="14" t="inlineStr">
        <is>
          <t>Small cap Fund</t>
        </is>
      </c>
      <c r="C41" s="25" t="n">
        <v>-3.7</v>
      </c>
      <c r="D41" s="14" t="n">
        <v>0.2</v>
      </c>
      <c r="E41" s="14" t="n">
        <v>71.09999999999999</v>
      </c>
      <c r="F41" s="14" t="n">
        <v>41.5</v>
      </c>
      <c r="G41" s="14" t="n">
        <v>50</v>
      </c>
      <c r="H41" s="14" t="n">
        <v>42.9</v>
      </c>
      <c r="I41" s="14" t="n">
        <v>78.59999999999999</v>
      </c>
      <c r="J41" s="26" t="n">
        <v>53.2</v>
      </c>
      <c r="K41" s="14" t="n">
        <v>8</v>
      </c>
      <c r="L41" s="18" t="inlineStr">
        <is>
          <t>Hold</t>
        </is>
      </c>
      <c r="M41" s="14" t="n">
        <v>71.40000000000001</v>
      </c>
      <c r="N41" s="14" t="n">
        <v>75</v>
      </c>
      <c r="O41" s="14" t="n">
        <v>64.3</v>
      </c>
      <c r="P41" s="14" t="n">
        <v>42.9</v>
      </c>
      <c r="Q41" s="14" t="n">
        <v>42.9</v>
      </c>
      <c r="R41" s="14" t="n">
        <v>35.7</v>
      </c>
      <c r="S41" s="14" t="n">
        <v>35.7</v>
      </c>
      <c r="T41" s="14" t="n">
        <v>0.8100000000000001</v>
      </c>
      <c r="U41" s="34" t="inlineStr"/>
    </row>
    <row r="42" ht="30" customHeight="1">
      <c r="A42" s="11" t="inlineStr">
        <is>
          <t>Invesco India Midcap Fund-Reg(G)</t>
        </is>
      </c>
      <c r="B42" s="8" t="inlineStr">
        <is>
          <t>Mid Cap Fund</t>
        </is>
      </c>
      <c r="C42" s="27" t="n">
        <v>-3.3</v>
      </c>
      <c r="D42" s="8" t="n">
        <v>-10.8</v>
      </c>
      <c r="E42" s="8" t="n">
        <v>33.2</v>
      </c>
      <c r="F42" s="8" t="n">
        <v>80</v>
      </c>
      <c r="G42" s="8" t="n">
        <v>78.59999999999999</v>
      </c>
      <c r="H42" s="8" t="n">
        <v>4.8</v>
      </c>
      <c r="I42" s="8" t="n">
        <v>78.59999999999999</v>
      </c>
      <c r="J42" s="26" t="n">
        <v>52.8</v>
      </c>
      <c r="K42" s="8" t="n">
        <v>10</v>
      </c>
      <c r="L42" s="18" t="inlineStr">
        <is>
          <t>Hold</t>
        </is>
      </c>
      <c r="M42" s="8" t="n">
        <v>38.1</v>
      </c>
      <c r="N42" s="8" t="n">
        <v>5.9</v>
      </c>
      <c r="O42" s="8" t="n">
        <v>61.9</v>
      </c>
      <c r="P42" s="8" t="n">
        <v>76.2</v>
      </c>
      <c r="Q42" s="8" t="n">
        <v>76.2</v>
      </c>
      <c r="R42" s="8" t="n">
        <v>95.2</v>
      </c>
      <c r="S42" s="8" t="n">
        <v>95.2</v>
      </c>
      <c r="T42" s="8" t="n">
        <v>1.17</v>
      </c>
      <c r="U42" s="33" t="inlineStr"/>
    </row>
    <row r="43" ht="30" customHeight="1">
      <c r="A43" s="16" t="inlineStr">
        <is>
          <t>Franklin India Mid Cap Fund(G)</t>
        </is>
      </c>
      <c r="B43" s="14" t="inlineStr">
        <is>
          <t>Mid Cap Fund</t>
        </is>
      </c>
      <c r="C43" s="25" t="n">
        <v>-2.9</v>
      </c>
      <c r="D43" s="14" t="n">
        <v>-3.8</v>
      </c>
      <c r="E43" s="14" t="n">
        <v>50.6</v>
      </c>
      <c r="F43" s="14" t="n">
        <v>49.5</v>
      </c>
      <c r="G43" s="14" t="n">
        <v>47.6</v>
      </c>
      <c r="H43" s="14" t="n">
        <v>61.9</v>
      </c>
      <c r="I43" s="14" t="n">
        <v>57.1</v>
      </c>
      <c r="J43" s="26" t="n">
        <v>52.2</v>
      </c>
      <c r="K43" s="14" t="n">
        <v>11</v>
      </c>
      <c r="L43" s="18" t="inlineStr">
        <is>
          <t>Hold</t>
        </is>
      </c>
      <c r="M43" s="14" t="n">
        <v>57.1</v>
      </c>
      <c r="N43" s="14" t="n">
        <v>35.3</v>
      </c>
      <c r="O43" s="14" t="n">
        <v>57.1</v>
      </c>
      <c r="P43" s="14" t="n">
        <v>52.4</v>
      </c>
      <c r="Q43" s="14" t="n">
        <v>52.4</v>
      </c>
      <c r="R43" s="14" t="n">
        <v>38.1</v>
      </c>
      <c r="S43" s="14" t="n">
        <v>38.1</v>
      </c>
      <c r="T43" s="14" t="n">
        <v>0.78</v>
      </c>
      <c r="U43" s="34" t="inlineStr"/>
    </row>
    <row r="44" ht="30" customHeight="1">
      <c r="A44" s="11" t="inlineStr">
        <is>
          <t>JM Midcap Fund-Reg(G)</t>
        </is>
      </c>
      <c r="B44" s="8" t="inlineStr">
        <is>
          <t>Mid Cap Fund</t>
        </is>
      </c>
      <c r="C44" s="27" t="n">
        <v>-1</v>
      </c>
      <c r="D44" s="8" t="inlineStr"/>
      <c r="E44" s="8" t="n">
        <v>71.40000000000001</v>
      </c>
      <c r="F44" s="8" t="n">
        <v>52.4</v>
      </c>
      <c r="G44" s="8" t="n">
        <v>52.4</v>
      </c>
      <c r="H44" s="8" t="n">
        <v>28.6</v>
      </c>
      <c r="I44" s="8" t="n">
        <v>0</v>
      </c>
      <c r="J44" s="8" t="n">
        <v>49.8</v>
      </c>
      <c r="K44" s="8" t="n">
        <v>12</v>
      </c>
      <c r="L44" s="19" t="inlineStr">
        <is>
          <t>Underweight</t>
        </is>
      </c>
      <c r="M44" s="8" t="n">
        <v>71.40000000000001</v>
      </c>
      <c r="N44" s="8" t="inlineStr"/>
      <c r="O44" s="8" t="n">
        <v>71.40000000000001</v>
      </c>
      <c r="P44" s="8" t="n">
        <v>47.6</v>
      </c>
      <c r="Q44" s="8" t="n">
        <v>57.1</v>
      </c>
      <c r="R44" s="8" t="n">
        <v>52.4</v>
      </c>
      <c r="S44" s="8" t="n">
        <v>33.3</v>
      </c>
      <c r="T44" s="8" t="n">
        <v>1.46</v>
      </c>
      <c r="U44" s="33" t="inlineStr"/>
    </row>
    <row r="45" ht="30" customHeight="1">
      <c r="A45" s="16" t="inlineStr">
        <is>
          <t>Bandhan Flexi Cap Fund-Reg(G)</t>
        </is>
      </c>
      <c r="B45" s="14" t="inlineStr">
        <is>
          <t>Flexi Cap Fund</t>
        </is>
      </c>
      <c r="C45" s="25" t="n">
        <v>-5.9</v>
      </c>
      <c r="D45" s="14" t="n">
        <v>-11</v>
      </c>
      <c r="E45" s="14" t="n">
        <v>14.3</v>
      </c>
      <c r="F45" s="14" t="n">
        <v>61.5</v>
      </c>
      <c r="G45" s="14" t="n">
        <v>48.1</v>
      </c>
      <c r="H45" s="14" t="n">
        <v>73.09999999999999</v>
      </c>
      <c r="I45" s="14" t="n">
        <v>42.3</v>
      </c>
      <c r="J45" s="14" t="n">
        <v>47.7</v>
      </c>
      <c r="K45" s="14" t="n">
        <v>13</v>
      </c>
      <c r="L45" s="19" t="inlineStr">
        <is>
          <t>Underweight</t>
        </is>
      </c>
      <c r="M45" s="14" t="n">
        <v>15.4</v>
      </c>
      <c r="N45" s="14" t="n">
        <v>11.8</v>
      </c>
      <c r="O45" s="14" t="n">
        <v>15.4</v>
      </c>
      <c r="P45" s="14" t="n">
        <v>57.7</v>
      </c>
      <c r="Q45" s="14" t="n">
        <v>57.7</v>
      </c>
      <c r="R45" s="14" t="n">
        <v>76.90000000000001</v>
      </c>
      <c r="S45" s="14" t="n">
        <v>80.8</v>
      </c>
      <c r="T45" s="14" t="n">
        <v>0.73</v>
      </c>
      <c r="U45" s="34" t="inlineStr"/>
    </row>
    <row r="46" ht="30" customHeight="1">
      <c r="A46" s="11" t="inlineStr">
        <is>
          <t>JM Flexicap Fund-Reg(G)</t>
        </is>
      </c>
      <c r="B46" s="8" t="inlineStr">
        <is>
          <t>Flexi Cap Fund</t>
        </is>
      </c>
      <c r="C46" s="27" t="n">
        <v>-2.9</v>
      </c>
      <c r="D46" s="8" t="n">
        <v>-7.2</v>
      </c>
      <c r="E46" s="8" t="n">
        <v>29</v>
      </c>
      <c r="F46" s="8" t="n">
        <v>60.8</v>
      </c>
      <c r="G46" s="8" t="n">
        <v>65.40000000000001</v>
      </c>
      <c r="H46" s="8" t="n">
        <v>30.8</v>
      </c>
      <c r="I46" s="8" t="n">
        <v>48.1</v>
      </c>
      <c r="J46" s="8" t="n">
        <v>47.4</v>
      </c>
      <c r="K46" s="8" t="n">
        <v>14</v>
      </c>
      <c r="L46" s="19" t="inlineStr">
        <is>
          <t>Underweight</t>
        </is>
      </c>
      <c r="M46" s="8" t="n">
        <v>26.9</v>
      </c>
      <c r="N46" s="8" t="n">
        <v>23.5</v>
      </c>
      <c r="O46" s="8" t="n">
        <v>42.3</v>
      </c>
      <c r="P46" s="8" t="n">
        <v>50</v>
      </c>
      <c r="Q46" s="8" t="n">
        <v>61.5</v>
      </c>
      <c r="R46" s="8" t="n">
        <v>80.8</v>
      </c>
      <c r="S46" s="8" t="n">
        <v>88.5</v>
      </c>
      <c r="T46" s="8" t="n">
        <v>1.18</v>
      </c>
      <c r="U46" s="33" t="inlineStr"/>
    </row>
    <row r="47" ht="30" customHeight="1">
      <c r="A47" s="16" t="inlineStr">
        <is>
          <t>SBI Large Cap Fund-Reg(G)</t>
        </is>
      </c>
      <c r="B47" s="14" t="inlineStr">
        <is>
          <t>Large Cap Fund</t>
        </is>
      </c>
      <c r="C47" s="25" t="n">
        <v>-6.7</v>
      </c>
      <c r="D47" s="14" t="n">
        <v>-10.2</v>
      </c>
      <c r="E47" s="14" t="n">
        <v>8.699999999999999</v>
      </c>
      <c r="F47" s="14" t="n">
        <v>49.4</v>
      </c>
      <c r="G47" s="14" t="n">
        <v>40</v>
      </c>
      <c r="H47" s="14" t="n">
        <v>86.7</v>
      </c>
      <c r="I47" s="14" t="n">
        <v>90</v>
      </c>
      <c r="J47" s="14" t="n">
        <v>46.4</v>
      </c>
      <c r="K47" s="14" t="n">
        <v>8</v>
      </c>
      <c r="L47" s="19" t="inlineStr">
        <is>
          <t>Underweight</t>
        </is>
      </c>
      <c r="M47" s="14" t="n">
        <v>6.7</v>
      </c>
      <c r="N47" s="14" t="n">
        <v>13.3</v>
      </c>
      <c r="O47" s="14" t="n">
        <v>6.7</v>
      </c>
      <c r="P47" s="14" t="n">
        <v>46.7</v>
      </c>
      <c r="Q47" s="14" t="n">
        <v>46.7</v>
      </c>
      <c r="R47" s="14" t="n">
        <v>60</v>
      </c>
      <c r="S47" s="14" t="n">
        <v>73.3</v>
      </c>
      <c r="T47" s="14" t="n">
        <v>0.68</v>
      </c>
      <c r="U47" s="34" t="inlineStr"/>
    </row>
    <row r="48" ht="30" customHeight="1">
      <c r="A48" s="11" t="inlineStr">
        <is>
          <t>Franklin India Large Cap Fund(G)</t>
        </is>
      </c>
      <c r="B48" s="8" t="inlineStr">
        <is>
          <t>Large Cap Fund</t>
        </is>
      </c>
      <c r="C48" s="27" t="n">
        <v>0</v>
      </c>
      <c r="D48" s="8" t="n">
        <v>-1.2</v>
      </c>
      <c r="E48" s="8" t="n">
        <v>46.7</v>
      </c>
      <c r="F48" s="8" t="n">
        <v>42.7</v>
      </c>
      <c r="G48" s="8" t="n">
        <v>43.4</v>
      </c>
      <c r="H48" s="8" t="n">
        <v>53.3</v>
      </c>
      <c r="I48" s="8" t="n">
        <v>26.7</v>
      </c>
      <c r="J48" s="8" t="n">
        <v>45.2</v>
      </c>
      <c r="K48" s="8" t="n">
        <v>9</v>
      </c>
      <c r="L48" s="19" t="inlineStr">
        <is>
          <t>Underweight</t>
        </is>
      </c>
      <c r="M48" s="8" t="n">
        <v>46.7</v>
      </c>
      <c r="N48" s="8" t="n">
        <v>46.7</v>
      </c>
      <c r="O48" s="8" t="n">
        <v>46.7</v>
      </c>
      <c r="P48" s="8" t="n">
        <v>40</v>
      </c>
      <c r="Q48" s="8" t="n">
        <v>53.3</v>
      </c>
      <c r="R48" s="8" t="n">
        <v>26.7</v>
      </c>
      <c r="S48" s="8" t="n">
        <v>40</v>
      </c>
      <c r="T48" s="8" t="n">
        <v>0.72</v>
      </c>
      <c r="U48" s="33" t="inlineStr"/>
    </row>
    <row r="49" ht="30" customHeight="1">
      <c r="A49" s="16" t="inlineStr">
        <is>
          <t>Union Small Cap Fund-Reg(G)</t>
        </is>
      </c>
      <c r="B49" s="14" t="inlineStr">
        <is>
          <t>Small cap Fund</t>
        </is>
      </c>
      <c r="C49" s="25" t="n">
        <v>-7.8</v>
      </c>
      <c r="D49" s="14" t="n">
        <v>-13.8</v>
      </c>
      <c r="E49" s="14" t="n">
        <v>13.9</v>
      </c>
      <c r="F49" s="14" t="n">
        <v>62.8</v>
      </c>
      <c r="G49" s="14" t="n">
        <v>50</v>
      </c>
      <c r="H49" s="14" t="n">
        <v>64.3</v>
      </c>
      <c r="I49" s="14" t="n">
        <v>7.1</v>
      </c>
      <c r="J49" s="14" t="n">
        <v>44.9</v>
      </c>
      <c r="K49" s="14" t="n">
        <v>9</v>
      </c>
      <c r="L49" s="19" t="inlineStr">
        <is>
          <t>Underweight</t>
        </is>
      </c>
      <c r="M49" s="14" t="n">
        <v>14.3</v>
      </c>
      <c r="N49" s="14" t="n">
        <v>8.300000000000001</v>
      </c>
      <c r="O49" s="14" t="n">
        <v>21.4</v>
      </c>
      <c r="P49" s="14" t="n">
        <v>64.3</v>
      </c>
      <c r="Q49" s="14" t="n">
        <v>57.1</v>
      </c>
      <c r="R49" s="14" t="n">
        <v>71.40000000000001</v>
      </c>
      <c r="S49" s="14" t="n">
        <v>78.59999999999999</v>
      </c>
      <c r="T49" s="14" t="n">
        <v>1.07</v>
      </c>
      <c r="U49" s="34" t="inlineStr"/>
    </row>
    <row r="50" ht="30" customHeight="1">
      <c r="A50" s="11" t="inlineStr">
        <is>
          <t>Invesco India Flexi Cap Fund-Reg(G)</t>
        </is>
      </c>
      <c r="B50" s="8" t="inlineStr">
        <is>
          <t>Flexi Cap Fund</t>
        </is>
      </c>
      <c r="C50" s="27" t="n">
        <v>-2.7</v>
      </c>
      <c r="D50" s="8" t="inlineStr"/>
      <c r="E50" s="8" t="n">
        <v>36.9</v>
      </c>
      <c r="F50" s="8" t="n">
        <v>61.6</v>
      </c>
      <c r="G50" s="8" t="n">
        <v>65.40000000000001</v>
      </c>
      <c r="H50" s="8" t="n">
        <v>7.7</v>
      </c>
      <c r="I50" s="8" t="n">
        <v>48.1</v>
      </c>
      <c r="J50" s="8" t="n">
        <v>44.9</v>
      </c>
      <c r="K50" s="8" t="n">
        <v>15</v>
      </c>
      <c r="L50" s="19" t="inlineStr">
        <is>
          <t>Underweight</t>
        </is>
      </c>
      <c r="M50" s="8" t="n">
        <v>34.6</v>
      </c>
      <c r="N50" s="8" t="inlineStr"/>
      <c r="O50" s="8" t="n">
        <v>46.2</v>
      </c>
      <c r="P50" s="8" t="n">
        <v>65.40000000000001</v>
      </c>
      <c r="Q50" s="8" t="n">
        <v>46.2</v>
      </c>
      <c r="R50" s="8" t="n">
        <v>84.59999999999999</v>
      </c>
      <c r="S50" s="8" t="n">
        <v>84.59999999999999</v>
      </c>
      <c r="T50" s="8" t="n">
        <v>1.32</v>
      </c>
      <c r="U50" s="33" t="inlineStr"/>
    </row>
    <row r="51" ht="30" customHeight="1">
      <c r="A51" s="16" t="inlineStr">
        <is>
          <t>Quant Flexi Cap Fund(G)</t>
        </is>
      </c>
      <c r="B51" s="14" t="inlineStr">
        <is>
          <t>Flexi Cap Fund</t>
        </is>
      </c>
      <c r="C51" s="15" t="n">
        <v>1.2</v>
      </c>
      <c r="D51" s="14" t="n">
        <v>5.2</v>
      </c>
      <c r="E51" s="14" t="n">
        <v>85.8</v>
      </c>
      <c r="F51" s="14" t="n">
        <v>35.4</v>
      </c>
      <c r="G51" s="14" t="n">
        <v>44.2</v>
      </c>
      <c r="H51" s="14" t="n">
        <v>0</v>
      </c>
      <c r="I51" s="14" t="n">
        <v>53.8</v>
      </c>
      <c r="J51" s="14" t="n">
        <v>44</v>
      </c>
      <c r="K51" s="14" t="n">
        <v>16</v>
      </c>
      <c r="L51" s="19" t="inlineStr">
        <is>
          <t>Underweight</t>
        </is>
      </c>
      <c r="M51" s="14" t="n">
        <v>80.8</v>
      </c>
      <c r="N51" s="14" t="n">
        <v>100</v>
      </c>
      <c r="O51" s="14" t="n">
        <v>76.90000000000001</v>
      </c>
      <c r="P51" s="14" t="n">
        <v>19.2</v>
      </c>
      <c r="Q51" s="14" t="n">
        <v>42.3</v>
      </c>
      <c r="R51" s="14" t="n">
        <v>53.8</v>
      </c>
      <c r="S51" s="14" t="n">
        <v>11.5</v>
      </c>
      <c r="T51" s="14" t="n">
        <v>1.12</v>
      </c>
      <c r="U51" s="34" t="inlineStr"/>
    </row>
    <row r="52" ht="30" customHeight="1">
      <c r="A52" s="11" t="inlineStr">
        <is>
          <t>Mahindra Manulife Flexi Cap Fund-Reg(G)</t>
        </is>
      </c>
      <c r="B52" s="8" t="inlineStr">
        <is>
          <t>Flexi Cap Fund</t>
        </is>
      </c>
      <c r="C52" s="27" t="n">
        <v>-1.2</v>
      </c>
      <c r="D52" s="8" t="inlineStr"/>
      <c r="E52" s="8" t="n">
        <v>50</v>
      </c>
      <c r="F52" s="8" t="n">
        <v>35.4</v>
      </c>
      <c r="G52" s="8" t="n">
        <v>38.4</v>
      </c>
      <c r="H52" s="8" t="n">
        <v>61.5</v>
      </c>
      <c r="I52" s="8" t="n">
        <v>7.7</v>
      </c>
      <c r="J52" s="8" t="n">
        <v>43.6</v>
      </c>
      <c r="K52" s="8" t="n">
        <v>17</v>
      </c>
      <c r="L52" s="19" t="inlineStr">
        <is>
          <t>Underweight</t>
        </is>
      </c>
      <c r="M52" s="8" t="n">
        <v>50</v>
      </c>
      <c r="N52" s="8" t="inlineStr"/>
      <c r="O52" s="8" t="n">
        <v>50</v>
      </c>
      <c r="P52" s="8" t="n">
        <v>42.3</v>
      </c>
      <c r="Q52" s="8" t="n">
        <v>38.5</v>
      </c>
      <c r="R52" s="8" t="n">
        <v>15.4</v>
      </c>
      <c r="S52" s="8" t="n">
        <v>26.9</v>
      </c>
      <c r="T52" s="8" t="n">
        <v>1.53</v>
      </c>
      <c r="U52" s="33" t="inlineStr"/>
    </row>
    <row r="53" ht="30" customHeight="1">
      <c r="A53" s="16" t="inlineStr">
        <is>
          <t>UTI Small Cap Fund-Reg(G)</t>
        </is>
      </c>
      <c r="B53" s="14" t="inlineStr">
        <is>
          <t>Small cap Fund</t>
        </is>
      </c>
      <c r="C53" s="25" t="n">
        <v>-4.4</v>
      </c>
      <c r="D53" s="14" t="n">
        <v>-1.7</v>
      </c>
      <c r="E53" s="14" t="n">
        <v>50.7</v>
      </c>
      <c r="F53" s="14" t="n">
        <v>31.4</v>
      </c>
      <c r="G53" s="14" t="n">
        <v>35.8</v>
      </c>
      <c r="H53" s="14" t="n">
        <v>50</v>
      </c>
      <c r="I53" s="14" t="n">
        <v>53.6</v>
      </c>
      <c r="J53" s="14" t="n">
        <v>42.2</v>
      </c>
      <c r="K53" s="14" t="n">
        <v>10</v>
      </c>
      <c r="L53" s="19" t="inlineStr">
        <is>
          <t>Underweight</t>
        </is>
      </c>
      <c r="M53" s="14" t="n">
        <v>64.3</v>
      </c>
      <c r="N53" s="14" t="n">
        <v>33.3</v>
      </c>
      <c r="O53" s="14" t="n">
        <v>42.9</v>
      </c>
      <c r="P53" s="14" t="n">
        <v>28.6</v>
      </c>
      <c r="Q53" s="14" t="n">
        <v>35.7</v>
      </c>
      <c r="R53" s="14" t="n">
        <v>28.6</v>
      </c>
      <c r="S53" s="14" t="n">
        <v>28.6</v>
      </c>
      <c r="T53" s="14" t="n">
        <v>1.21</v>
      </c>
      <c r="U53" s="34" t="inlineStr"/>
    </row>
    <row r="54" ht="30" customHeight="1">
      <c r="A54" s="11" t="inlineStr">
        <is>
          <t>Aditya Birla SL Large Cap Fund-Reg(G)</t>
        </is>
      </c>
      <c r="B54" s="8" t="inlineStr">
        <is>
          <t>Large Cap Fund</t>
        </is>
      </c>
      <c r="C54" s="10" t="n">
        <v>0.1</v>
      </c>
      <c r="D54" s="8" t="n">
        <v>0.4</v>
      </c>
      <c r="E54" s="8" t="n">
        <v>60.7</v>
      </c>
      <c r="F54" s="8" t="n">
        <v>30.7</v>
      </c>
      <c r="G54" s="8" t="n">
        <v>43.3</v>
      </c>
      <c r="H54" s="8" t="n">
        <v>26.7</v>
      </c>
      <c r="I54" s="8" t="n">
        <v>60</v>
      </c>
      <c r="J54" s="8" t="n">
        <v>42</v>
      </c>
      <c r="K54" s="8" t="n">
        <v>10</v>
      </c>
      <c r="L54" s="19" t="inlineStr">
        <is>
          <t>Underweight</t>
        </is>
      </c>
      <c r="M54" s="8" t="n">
        <v>60</v>
      </c>
      <c r="N54" s="8" t="n">
        <v>66.7</v>
      </c>
      <c r="O54" s="8" t="n">
        <v>53.3</v>
      </c>
      <c r="P54" s="8" t="n">
        <v>33.3</v>
      </c>
      <c r="Q54" s="8" t="n">
        <v>26.7</v>
      </c>
      <c r="R54" s="8" t="n">
        <v>33.3</v>
      </c>
      <c r="S54" s="8" t="n">
        <v>33.3</v>
      </c>
      <c r="T54" s="8" t="n">
        <v>0.66</v>
      </c>
      <c r="U54" s="33" t="inlineStr"/>
    </row>
    <row r="55" ht="30" customHeight="1">
      <c r="A55" s="16" t="inlineStr">
        <is>
          <t>Canara Rob Large Cap Fund-Reg(G)</t>
        </is>
      </c>
      <c r="B55" s="14" t="inlineStr">
        <is>
          <t>Large Cap Fund</t>
        </is>
      </c>
      <c r="C55" s="25" t="n">
        <v>-6.3</v>
      </c>
      <c r="D55" s="14" t="n">
        <v>-10.6</v>
      </c>
      <c r="E55" s="14" t="n">
        <v>11.3</v>
      </c>
      <c r="F55" s="14" t="n">
        <v>52</v>
      </c>
      <c r="G55" s="14" t="n">
        <v>40</v>
      </c>
      <c r="H55" s="14" t="n">
        <v>66.7</v>
      </c>
      <c r="I55" s="14" t="n">
        <v>53.3</v>
      </c>
      <c r="J55" s="14" t="n">
        <v>41.8</v>
      </c>
      <c r="K55" s="14" t="n">
        <v>11</v>
      </c>
      <c r="L55" s="19" t="inlineStr">
        <is>
          <t>Underweight</t>
        </is>
      </c>
      <c r="M55" s="14" t="n">
        <v>13.3</v>
      </c>
      <c r="N55" s="14" t="n">
        <v>6.7</v>
      </c>
      <c r="O55" s="14" t="n">
        <v>13.3</v>
      </c>
      <c r="P55" s="14" t="n">
        <v>53.3</v>
      </c>
      <c r="Q55" s="14" t="n">
        <v>40</v>
      </c>
      <c r="R55" s="14" t="n">
        <v>73.3</v>
      </c>
      <c r="S55" s="14" t="n">
        <v>66.7</v>
      </c>
      <c r="T55" s="14" t="n">
        <v>1.13</v>
      </c>
      <c r="U55" s="34" t="inlineStr"/>
    </row>
    <row r="56" ht="30" customHeight="1">
      <c r="A56" s="11" t="inlineStr">
        <is>
          <t>Nippon India Flexi Cap Fund-Reg(G)</t>
        </is>
      </c>
      <c r="B56" s="8" t="inlineStr">
        <is>
          <t>Flexi Cap Fund</t>
        </is>
      </c>
      <c r="C56" s="27" t="n">
        <v>-1.1</v>
      </c>
      <c r="D56" s="8" t="inlineStr"/>
      <c r="E56" s="8" t="n">
        <v>53.8</v>
      </c>
      <c r="F56" s="8" t="n">
        <v>31.5</v>
      </c>
      <c r="G56" s="8" t="n">
        <v>38.4</v>
      </c>
      <c r="H56" s="8" t="n">
        <v>34.6</v>
      </c>
      <c r="I56" s="8" t="n">
        <v>65.40000000000001</v>
      </c>
      <c r="J56" s="8" t="n">
        <v>41.1</v>
      </c>
      <c r="K56" s="8" t="n">
        <v>18</v>
      </c>
      <c r="L56" s="19" t="inlineStr">
        <is>
          <t>Underweight</t>
        </is>
      </c>
      <c r="M56" s="8" t="n">
        <v>53.8</v>
      </c>
      <c r="N56" s="8" t="inlineStr"/>
      <c r="O56" s="8" t="n">
        <v>53.8</v>
      </c>
      <c r="P56" s="8" t="n">
        <v>34.6</v>
      </c>
      <c r="Q56" s="8" t="n">
        <v>30.8</v>
      </c>
      <c r="R56" s="8" t="n">
        <v>26.9</v>
      </c>
      <c r="S56" s="8" t="n">
        <v>23.1</v>
      </c>
      <c r="T56" s="8" t="n">
        <v>1.28</v>
      </c>
      <c r="U56" s="33" t="inlineStr"/>
    </row>
    <row r="57" ht="30" customHeight="1">
      <c r="A57" s="16" t="inlineStr">
        <is>
          <t>Mirae Asset Midcap Fund-Reg(G)</t>
        </is>
      </c>
      <c r="B57" s="14" t="inlineStr">
        <is>
          <t>Mid Cap Fund</t>
        </is>
      </c>
      <c r="C57" s="25" t="n">
        <v>-3</v>
      </c>
      <c r="D57" s="14" t="n">
        <v>-2.2</v>
      </c>
      <c r="E57" s="14" t="n">
        <v>56.1</v>
      </c>
      <c r="F57" s="14" t="n">
        <v>31.4</v>
      </c>
      <c r="G57" s="14" t="n">
        <v>35.7</v>
      </c>
      <c r="H57" s="14" t="n">
        <v>23.8</v>
      </c>
      <c r="I57" s="14" t="n">
        <v>100</v>
      </c>
      <c r="J57" s="14" t="n">
        <v>40.6</v>
      </c>
      <c r="K57" s="14" t="n">
        <v>13</v>
      </c>
      <c r="L57" s="19" t="inlineStr">
        <is>
          <t>Underweight</t>
        </is>
      </c>
      <c r="M57" s="14" t="n">
        <v>52.4</v>
      </c>
      <c r="N57" s="14" t="n">
        <v>64.7</v>
      </c>
      <c r="O57" s="14" t="n">
        <v>52.4</v>
      </c>
      <c r="P57" s="14" t="n">
        <v>38.1</v>
      </c>
      <c r="Q57" s="14" t="n">
        <v>28.6</v>
      </c>
      <c r="R57" s="14" t="n">
        <v>23.8</v>
      </c>
      <c r="S57" s="14" t="n">
        <v>19</v>
      </c>
      <c r="T57" s="14" t="n">
        <v>1.09</v>
      </c>
      <c r="U57" s="34" t="inlineStr"/>
    </row>
    <row r="58" ht="30" customHeight="1">
      <c r="A58" s="11" t="inlineStr">
        <is>
          <t>DSP Midcap Fund-Reg(G)</t>
        </is>
      </c>
      <c r="B58" s="8" t="inlineStr">
        <is>
          <t>Mid Cap Fund</t>
        </is>
      </c>
      <c r="C58" s="27" t="n">
        <v>-3.3</v>
      </c>
      <c r="D58" s="8" t="n">
        <v>-6</v>
      </c>
      <c r="E58" s="8" t="n">
        <v>35.9</v>
      </c>
      <c r="F58" s="8" t="n">
        <v>37.1</v>
      </c>
      <c r="G58" s="8" t="n">
        <v>35.8</v>
      </c>
      <c r="H58" s="8" t="n">
        <v>42.9</v>
      </c>
      <c r="I58" s="8" t="n">
        <v>88.09999999999999</v>
      </c>
      <c r="J58" s="8" t="n">
        <v>40.2</v>
      </c>
      <c r="K58" s="8" t="n">
        <v>14</v>
      </c>
      <c r="L58" s="19" t="inlineStr">
        <is>
          <t>Underweight</t>
        </is>
      </c>
      <c r="M58" s="8" t="n">
        <v>47.6</v>
      </c>
      <c r="N58" s="8" t="n">
        <v>11.8</v>
      </c>
      <c r="O58" s="8" t="n">
        <v>42.9</v>
      </c>
      <c r="P58" s="8" t="n">
        <v>28.6</v>
      </c>
      <c r="Q58" s="8" t="n">
        <v>47.6</v>
      </c>
      <c r="R58" s="8" t="n">
        <v>33.3</v>
      </c>
      <c r="S58" s="8" t="n">
        <v>28.6</v>
      </c>
      <c r="T58" s="8" t="n">
        <v>0.9399999999999999</v>
      </c>
      <c r="U58" s="33" t="inlineStr"/>
    </row>
    <row r="59" ht="30" customHeight="1">
      <c r="A59" s="16" t="inlineStr">
        <is>
          <t>Canara Rob Small Cap Fund-Reg(G)</t>
        </is>
      </c>
      <c r="B59" s="14" t="inlineStr">
        <is>
          <t>Small cap Fund</t>
        </is>
      </c>
      <c r="C59" s="25" t="n">
        <v>-6.1</v>
      </c>
      <c r="D59" s="14" t="n">
        <v>0.3</v>
      </c>
      <c r="E59" s="14" t="n">
        <v>51.1</v>
      </c>
      <c r="F59" s="14" t="n">
        <v>18.5</v>
      </c>
      <c r="G59" s="14" t="n">
        <v>25</v>
      </c>
      <c r="H59" s="14" t="n">
        <v>57.1</v>
      </c>
      <c r="I59" s="14" t="n">
        <v>89.3</v>
      </c>
      <c r="J59" s="14" t="n">
        <v>39.5</v>
      </c>
      <c r="K59" s="14" t="n">
        <v>11</v>
      </c>
      <c r="L59" s="19" t="inlineStr">
        <is>
          <t>Underweight</t>
        </is>
      </c>
      <c r="M59" s="14" t="n">
        <v>35.7</v>
      </c>
      <c r="N59" s="14" t="n">
        <v>91.7</v>
      </c>
      <c r="O59" s="14" t="n">
        <v>28.6</v>
      </c>
      <c r="P59" s="14" t="n">
        <v>21.4</v>
      </c>
      <c r="Q59" s="14" t="n">
        <v>21.4</v>
      </c>
      <c r="R59" s="14" t="n">
        <v>7.1</v>
      </c>
      <c r="S59" s="14" t="n">
        <v>21.4</v>
      </c>
      <c r="T59" s="14" t="n">
        <v>1.15</v>
      </c>
      <c r="U59" s="34" t="inlineStr"/>
    </row>
    <row r="60" ht="30" customHeight="1">
      <c r="A60" s="11" t="inlineStr">
        <is>
          <t>Canara Rob Flexi Cap Fund-Reg(G)</t>
        </is>
      </c>
      <c r="B60" s="8" t="inlineStr">
        <is>
          <t>Flexi Cap Fund</t>
        </is>
      </c>
      <c r="C60" s="27" t="n">
        <v>-6.9</v>
      </c>
      <c r="D60" s="8" t="n">
        <v>-11.2</v>
      </c>
      <c r="E60" s="8" t="n">
        <v>5.2</v>
      </c>
      <c r="F60" s="8" t="n">
        <v>37.7</v>
      </c>
      <c r="G60" s="8" t="n">
        <v>30.8</v>
      </c>
      <c r="H60" s="8" t="n">
        <v>80.8</v>
      </c>
      <c r="I60" s="8" t="n">
        <v>82.7</v>
      </c>
      <c r="J60" s="8" t="n">
        <v>38.7</v>
      </c>
      <c r="K60" s="8" t="n">
        <v>19</v>
      </c>
      <c r="L60" s="19" t="inlineStr">
        <is>
          <t>Underweight</t>
        </is>
      </c>
      <c r="M60" s="8" t="n">
        <v>3.8</v>
      </c>
      <c r="N60" s="8" t="n">
        <v>5.9</v>
      </c>
      <c r="O60" s="8" t="n">
        <v>7.7</v>
      </c>
      <c r="P60" s="8" t="n">
        <v>38.5</v>
      </c>
      <c r="Q60" s="8" t="n">
        <v>34.6</v>
      </c>
      <c r="R60" s="8" t="n">
        <v>42.3</v>
      </c>
      <c r="S60" s="8" t="n">
        <v>53.8</v>
      </c>
      <c r="T60" s="8" t="n">
        <v>1.13</v>
      </c>
      <c r="U60" s="33" t="inlineStr"/>
    </row>
    <row r="61" ht="30" customHeight="1">
      <c r="A61" s="16" t="inlineStr">
        <is>
          <t>Sundaram Flexi Cap Fund-Reg(G)</t>
        </is>
      </c>
      <c r="B61" s="14" t="inlineStr">
        <is>
          <t>Flexi Cap Fund</t>
        </is>
      </c>
      <c r="C61" s="25" t="n">
        <v>-2.2</v>
      </c>
      <c r="D61" s="14" t="inlineStr"/>
      <c r="E61" s="14" t="n">
        <v>35.4</v>
      </c>
      <c r="F61" s="14" t="n">
        <v>20</v>
      </c>
      <c r="G61" s="14" t="n">
        <v>27</v>
      </c>
      <c r="H61" s="14" t="n">
        <v>84.59999999999999</v>
      </c>
      <c r="I61" s="14" t="n">
        <v>11.5</v>
      </c>
      <c r="J61" s="14" t="n">
        <v>38.1</v>
      </c>
      <c r="K61" s="14" t="n">
        <v>20</v>
      </c>
      <c r="L61" s="19" t="inlineStr">
        <is>
          <t>Underweight</t>
        </is>
      </c>
      <c r="M61" s="14" t="n">
        <v>38.5</v>
      </c>
      <c r="N61" s="14" t="inlineStr"/>
      <c r="O61" s="14" t="n">
        <v>23.1</v>
      </c>
      <c r="P61" s="14" t="n">
        <v>23.1</v>
      </c>
      <c r="Q61" s="14" t="n">
        <v>23.1</v>
      </c>
      <c r="R61" s="14" t="n">
        <v>7.7</v>
      </c>
      <c r="S61" s="14" t="n">
        <v>30.8</v>
      </c>
      <c r="T61" s="14" t="n">
        <v>1.34</v>
      </c>
      <c r="U61" s="34" t="inlineStr"/>
    </row>
    <row r="62" ht="30" customHeight="1">
      <c r="A62" s="11" t="inlineStr">
        <is>
          <t>Canara Rob Mid Cap Fund-Reg(G)</t>
        </is>
      </c>
      <c r="B62" s="8" t="inlineStr">
        <is>
          <t>Mid Cap Fund</t>
        </is>
      </c>
      <c r="C62" s="27" t="n">
        <v>-9.4</v>
      </c>
      <c r="D62" s="8" t="inlineStr"/>
      <c r="E62" s="8" t="n">
        <v>6.7</v>
      </c>
      <c r="F62" s="8" t="n">
        <v>40</v>
      </c>
      <c r="G62" s="8" t="n">
        <v>35.7</v>
      </c>
      <c r="H62" s="8" t="n">
        <v>76.2</v>
      </c>
      <c r="I62" s="8" t="n">
        <v>23.8</v>
      </c>
      <c r="J62" s="8" t="n">
        <v>37</v>
      </c>
      <c r="K62" s="8" t="n">
        <v>15</v>
      </c>
      <c r="L62" s="19" t="inlineStr">
        <is>
          <t>Underweight</t>
        </is>
      </c>
      <c r="M62" s="8" t="n">
        <v>4.8</v>
      </c>
      <c r="N62" s="8" t="inlineStr"/>
      <c r="O62" s="8" t="n">
        <v>14.3</v>
      </c>
      <c r="P62" s="8" t="n">
        <v>33.3</v>
      </c>
      <c r="Q62" s="8" t="n">
        <v>42.9</v>
      </c>
      <c r="R62" s="8" t="n">
        <v>47.6</v>
      </c>
      <c r="S62" s="8" t="n">
        <v>57.1</v>
      </c>
      <c r="T62" s="8" t="n">
        <v>1.26</v>
      </c>
      <c r="U62" s="33" t="inlineStr"/>
    </row>
    <row r="63" ht="30" customHeight="1">
      <c r="A63" s="16" t="inlineStr">
        <is>
          <t>SBI Midcap Fund-Reg(G)</t>
        </is>
      </c>
      <c r="B63" s="14" t="inlineStr">
        <is>
          <t>Mid Cap Fund</t>
        </is>
      </c>
      <c r="C63" s="25" t="n">
        <v>-7.3</v>
      </c>
      <c r="D63" s="14" t="n">
        <v>-3.7</v>
      </c>
      <c r="E63" s="14" t="n">
        <v>23.8</v>
      </c>
      <c r="F63" s="14" t="n">
        <v>13.3</v>
      </c>
      <c r="G63" s="14" t="n">
        <v>11.9</v>
      </c>
      <c r="H63" s="14" t="n">
        <v>95.2</v>
      </c>
      <c r="I63" s="14" t="n">
        <v>95.2</v>
      </c>
      <c r="J63" s="14" t="n">
        <v>36.1</v>
      </c>
      <c r="K63" s="14" t="n">
        <v>16</v>
      </c>
      <c r="L63" s="19" t="inlineStr">
        <is>
          <t>Underweight</t>
        </is>
      </c>
      <c r="M63" s="14" t="n">
        <v>19</v>
      </c>
      <c r="N63" s="14" t="n">
        <v>41.2</v>
      </c>
      <c r="O63" s="14" t="n">
        <v>9.5</v>
      </c>
      <c r="P63" s="14" t="n">
        <v>14.3</v>
      </c>
      <c r="Q63" s="14" t="n">
        <v>14.3</v>
      </c>
      <c r="R63" s="14" t="n">
        <v>9.5</v>
      </c>
      <c r="S63" s="14" t="n">
        <v>14.3</v>
      </c>
      <c r="T63" s="14" t="n">
        <v>0.8</v>
      </c>
      <c r="U63" s="34" t="inlineStr"/>
    </row>
    <row r="64" ht="30" customHeight="1">
      <c r="A64" s="11" t="inlineStr">
        <is>
          <t>Tata Large Cap Fund-Reg(G)</t>
        </is>
      </c>
      <c r="B64" s="8" t="inlineStr">
        <is>
          <t>Large Cap Fund</t>
        </is>
      </c>
      <c r="C64" s="27" t="n">
        <v>0</v>
      </c>
      <c r="D64" s="8" t="n">
        <v>0.3</v>
      </c>
      <c r="E64" s="8" t="n">
        <v>56.6</v>
      </c>
      <c r="F64" s="8" t="n">
        <v>32</v>
      </c>
      <c r="G64" s="8" t="n">
        <v>43.4</v>
      </c>
      <c r="H64" s="8" t="n">
        <v>13.3</v>
      </c>
      <c r="I64" s="8" t="n">
        <v>6.7</v>
      </c>
      <c r="J64" s="8" t="n">
        <v>36</v>
      </c>
      <c r="K64" s="8" t="n">
        <v>12</v>
      </c>
      <c r="L64" s="19" t="inlineStr">
        <is>
          <t>Underweight</t>
        </is>
      </c>
      <c r="M64" s="8" t="n">
        <v>53.3</v>
      </c>
      <c r="N64" s="8" t="n">
        <v>60</v>
      </c>
      <c r="O64" s="8" t="n">
        <v>60</v>
      </c>
      <c r="P64" s="8" t="n">
        <v>26.7</v>
      </c>
      <c r="Q64" s="8" t="n">
        <v>33.3</v>
      </c>
      <c r="R64" s="8" t="n">
        <v>40</v>
      </c>
      <c r="S64" s="8" t="n">
        <v>26.7</v>
      </c>
      <c r="T64" s="8" t="n">
        <v>1.02</v>
      </c>
      <c r="U64" s="33" t="inlineStr"/>
    </row>
    <row r="65" ht="30" customHeight="1">
      <c r="A65" s="16" t="inlineStr">
        <is>
          <t>Baroda BNP Paribas Flexi Cap Fund-Reg(G)</t>
        </is>
      </c>
      <c r="B65" s="14" t="inlineStr">
        <is>
          <t>Flexi Cap Fund</t>
        </is>
      </c>
      <c r="C65" s="25" t="n">
        <v>-0.5</v>
      </c>
      <c r="D65" s="14" t="inlineStr"/>
      <c r="E65" s="14" t="n">
        <v>57.7</v>
      </c>
      <c r="F65" s="14" t="n">
        <v>23.1</v>
      </c>
      <c r="G65" s="14" t="n">
        <v>36.6</v>
      </c>
      <c r="H65" s="14" t="n">
        <v>26.9</v>
      </c>
      <c r="I65" s="14" t="n">
        <v>3.8</v>
      </c>
      <c r="J65" s="14" t="n">
        <v>34.9</v>
      </c>
      <c r="K65" s="14" t="n">
        <v>21</v>
      </c>
      <c r="L65" s="20" t="inlineStr">
        <is>
          <t>Avoid</t>
        </is>
      </c>
      <c r="M65" s="14" t="n">
        <v>57.7</v>
      </c>
      <c r="N65" s="14" t="inlineStr"/>
      <c r="O65" s="14" t="n">
        <v>57.7</v>
      </c>
      <c r="P65" s="14" t="n">
        <v>26.9</v>
      </c>
      <c r="Q65" s="14" t="n">
        <v>15.4</v>
      </c>
      <c r="R65" s="14" t="n">
        <v>30.8</v>
      </c>
      <c r="S65" s="14" t="n">
        <v>15.4</v>
      </c>
      <c r="T65" s="14" t="n">
        <v>1.17</v>
      </c>
      <c r="U65" s="34" t="inlineStr"/>
    </row>
    <row r="66" ht="30" customHeight="1">
      <c r="A66" s="11" t="inlineStr">
        <is>
          <t>Axis Flexi Cap Fund-Reg(G)</t>
        </is>
      </c>
      <c r="B66" s="8" t="inlineStr">
        <is>
          <t>Flexi Cap Fund</t>
        </is>
      </c>
      <c r="C66" s="27" t="n">
        <v>-1.4</v>
      </c>
      <c r="D66" s="8" t="n">
        <v>-3.3</v>
      </c>
      <c r="E66" s="8" t="n">
        <v>43.2</v>
      </c>
      <c r="F66" s="8" t="n">
        <v>20.8</v>
      </c>
      <c r="G66" s="8" t="n">
        <v>28.8</v>
      </c>
      <c r="H66" s="8" t="n">
        <v>38.5</v>
      </c>
      <c r="I66" s="8" t="n">
        <v>71.2</v>
      </c>
      <c r="J66" s="8" t="n">
        <v>34.5</v>
      </c>
      <c r="K66" s="8" t="n">
        <v>22</v>
      </c>
      <c r="L66" s="20" t="inlineStr">
        <is>
          <t>Avoid</t>
        </is>
      </c>
      <c r="M66" s="8" t="n">
        <v>46.2</v>
      </c>
      <c r="N66" s="8" t="n">
        <v>41.2</v>
      </c>
      <c r="O66" s="8" t="n">
        <v>38.5</v>
      </c>
      <c r="P66" s="8" t="n">
        <v>15.4</v>
      </c>
      <c r="Q66" s="8" t="n">
        <v>26.9</v>
      </c>
      <c r="R66" s="8" t="n">
        <v>19.2</v>
      </c>
      <c r="S66" s="8" t="n">
        <v>19.2</v>
      </c>
      <c r="T66" s="8" t="n">
        <v>1</v>
      </c>
      <c r="U66" s="33" t="inlineStr"/>
    </row>
    <row r="67" ht="30" customHeight="1">
      <c r="A67" s="16" t="inlineStr">
        <is>
          <t>Union Midcap Fund-Reg(G)</t>
        </is>
      </c>
      <c r="B67" s="14" t="inlineStr">
        <is>
          <t>Mid Cap Fund</t>
        </is>
      </c>
      <c r="C67" s="25" t="n">
        <v>-8.1</v>
      </c>
      <c r="D67" s="14" t="n">
        <v>-13.1</v>
      </c>
      <c r="E67" s="14" t="n">
        <v>11.9</v>
      </c>
      <c r="F67" s="14" t="n">
        <v>43.8</v>
      </c>
      <c r="G67" s="14" t="n">
        <v>38.1</v>
      </c>
      <c r="H67" s="14" t="n">
        <v>47.6</v>
      </c>
      <c r="I67" s="14" t="n">
        <v>4.8</v>
      </c>
      <c r="J67" s="14" t="n">
        <v>33.2</v>
      </c>
      <c r="K67" s="14" t="n">
        <v>17</v>
      </c>
      <c r="L67" s="20" t="inlineStr">
        <is>
          <t>Avoid</t>
        </is>
      </c>
      <c r="M67" s="14" t="n">
        <v>14.3</v>
      </c>
      <c r="N67" s="14" t="n">
        <v>0</v>
      </c>
      <c r="O67" s="14" t="n">
        <v>23.8</v>
      </c>
      <c r="P67" s="14" t="n">
        <v>42.9</v>
      </c>
      <c r="Q67" s="14" t="n">
        <v>38.1</v>
      </c>
      <c r="R67" s="14" t="n">
        <v>57.1</v>
      </c>
      <c r="S67" s="14" t="n">
        <v>52.4</v>
      </c>
      <c r="T67" s="14" t="n">
        <v>1.3</v>
      </c>
      <c r="U67" s="34" t="inlineStr"/>
    </row>
    <row r="68" ht="30" customHeight="1">
      <c r="A68" s="11" t="inlineStr">
        <is>
          <t>SBI Flexicap Fund-Reg(G)</t>
        </is>
      </c>
      <c r="B68" s="8" t="inlineStr">
        <is>
          <t>Flexi Cap Fund</t>
        </is>
      </c>
      <c r="C68" s="27" t="n">
        <v>-9.199999999999999</v>
      </c>
      <c r="D68" s="8" t="n">
        <v>-12.6</v>
      </c>
      <c r="E68" s="8" t="n">
        <v>0.8</v>
      </c>
      <c r="F68" s="8" t="n">
        <v>11.5</v>
      </c>
      <c r="G68" s="8" t="n">
        <v>23</v>
      </c>
      <c r="H68" s="8" t="n">
        <v>96.2</v>
      </c>
      <c r="I68" s="8" t="n">
        <v>96.2</v>
      </c>
      <c r="J68" s="8" t="n">
        <v>32.9</v>
      </c>
      <c r="K68" s="8" t="n">
        <v>23</v>
      </c>
      <c r="L68" s="20" t="inlineStr">
        <is>
          <t>Avoid</t>
        </is>
      </c>
      <c r="M68" s="8" t="n">
        <v>0</v>
      </c>
      <c r="N68" s="8" t="n">
        <v>0</v>
      </c>
      <c r="O68" s="8" t="n">
        <v>3.8</v>
      </c>
      <c r="P68" s="8" t="n">
        <v>11.5</v>
      </c>
      <c r="Q68" s="8" t="n">
        <v>11.5</v>
      </c>
      <c r="R68" s="8" t="n">
        <v>11.5</v>
      </c>
      <c r="S68" s="8" t="n">
        <v>42.3</v>
      </c>
      <c r="T68" s="8" t="n">
        <v>0.84</v>
      </c>
      <c r="U68" s="33" t="inlineStr"/>
    </row>
    <row r="69" ht="30" customHeight="1">
      <c r="A69" s="16" t="inlineStr">
        <is>
          <t>Aditya Birla SL Midcap Fund(G)</t>
        </is>
      </c>
      <c r="B69" s="14" t="inlineStr">
        <is>
          <t>Mid Cap Fund</t>
        </is>
      </c>
      <c r="C69" s="25" t="n">
        <v>-3.5</v>
      </c>
      <c r="D69" s="14" t="n">
        <v>-3.1</v>
      </c>
      <c r="E69" s="14" t="n">
        <v>37.4</v>
      </c>
      <c r="F69" s="14" t="n">
        <v>26.6</v>
      </c>
      <c r="G69" s="14" t="n">
        <v>28.6</v>
      </c>
      <c r="H69" s="14" t="n">
        <v>38.1</v>
      </c>
      <c r="I69" s="14" t="n">
        <v>31</v>
      </c>
      <c r="J69" s="14" t="n">
        <v>32.3</v>
      </c>
      <c r="K69" s="14" t="n">
        <v>18</v>
      </c>
      <c r="L69" s="20" t="inlineStr">
        <is>
          <t>Avoid</t>
        </is>
      </c>
      <c r="M69" s="14" t="n">
        <v>33.3</v>
      </c>
      <c r="N69" s="14" t="n">
        <v>47.1</v>
      </c>
      <c r="O69" s="14" t="n">
        <v>33.3</v>
      </c>
      <c r="P69" s="14" t="n">
        <v>23.8</v>
      </c>
      <c r="Q69" s="14" t="n">
        <v>33.3</v>
      </c>
      <c r="R69" s="14" t="n">
        <v>19</v>
      </c>
      <c r="S69" s="14" t="n">
        <v>23.8</v>
      </c>
      <c r="T69" s="14" t="n">
        <v>0.85</v>
      </c>
      <c r="U69" s="34" t="inlineStr"/>
    </row>
    <row r="70" ht="30" customHeight="1">
      <c r="A70" s="11" t="inlineStr">
        <is>
          <t>Union Flexi Cap Fund-Reg(G)</t>
        </is>
      </c>
      <c r="B70" s="8" t="inlineStr">
        <is>
          <t>Flexi Cap Fund</t>
        </is>
      </c>
      <c r="C70" s="27" t="n">
        <v>-6.7</v>
      </c>
      <c r="D70" s="8" t="n">
        <v>-10.7</v>
      </c>
      <c r="E70" s="8" t="n">
        <v>11.4</v>
      </c>
      <c r="F70" s="8" t="n">
        <v>30</v>
      </c>
      <c r="G70" s="8" t="n">
        <v>28.8</v>
      </c>
      <c r="H70" s="8" t="n">
        <v>65.40000000000001</v>
      </c>
      <c r="I70" s="8" t="n">
        <v>15.4</v>
      </c>
      <c r="J70" s="8" t="n">
        <v>31.4</v>
      </c>
      <c r="K70" s="8" t="n">
        <v>24</v>
      </c>
      <c r="L70" s="20" t="inlineStr">
        <is>
          <t>Avoid</t>
        </is>
      </c>
      <c r="M70" s="8" t="n">
        <v>7.7</v>
      </c>
      <c r="N70" s="8" t="n">
        <v>17.6</v>
      </c>
      <c r="O70" s="8" t="n">
        <v>11.5</v>
      </c>
      <c r="P70" s="8" t="n">
        <v>30.8</v>
      </c>
      <c r="Q70" s="8" t="n">
        <v>19.2</v>
      </c>
      <c r="R70" s="8" t="n">
        <v>50</v>
      </c>
      <c r="S70" s="8" t="n">
        <v>46.2</v>
      </c>
      <c r="T70" s="8" t="n">
        <v>1.09</v>
      </c>
      <c r="U70" s="33" t="inlineStr"/>
    </row>
    <row r="71" ht="30" customHeight="1">
      <c r="A71" s="16" t="inlineStr">
        <is>
          <t>LIC MF Small Cap Fund-Reg(G)</t>
        </is>
      </c>
      <c r="B71" s="14" t="inlineStr">
        <is>
          <t>Small cap Fund</t>
        </is>
      </c>
      <c r="C71" s="25" t="n">
        <v>-4.7</v>
      </c>
      <c r="D71" s="14" t="n">
        <v>-0.5</v>
      </c>
      <c r="E71" s="14" t="n">
        <v>52.5</v>
      </c>
      <c r="F71" s="14" t="n">
        <v>20</v>
      </c>
      <c r="G71" s="14" t="n">
        <v>28.6</v>
      </c>
      <c r="H71" s="14" t="n">
        <v>21.4</v>
      </c>
      <c r="I71" s="14" t="n">
        <v>0</v>
      </c>
      <c r="J71" s="28" t="n">
        <v>29.6</v>
      </c>
      <c r="K71" s="14" t="n">
        <v>12</v>
      </c>
      <c r="L71" s="20" t="inlineStr">
        <is>
          <t>Avoid</t>
        </is>
      </c>
      <c r="M71" s="14" t="n">
        <v>50</v>
      </c>
      <c r="N71" s="14" t="n">
        <v>58.3</v>
      </c>
      <c r="O71" s="14" t="n">
        <v>50</v>
      </c>
      <c r="P71" s="14" t="n">
        <v>14.3</v>
      </c>
      <c r="Q71" s="14" t="n">
        <v>14.3</v>
      </c>
      <c r="R71" s="14" t="n">
        <v>42.9</v>
      </c>
      <c r="S71" s="14" t="n">
        <v>7.1</v>
      </c>
      <c r="T71" s="14" t="n">
        <v>1.36</v>
      </c>
      <c r="U71" s="34" t="inlineStr"/>
    </row>
    <row r="72" ht="30" customHeight="1">
      <c r="A72" s="11" t="inlineStr">
        <is>
          <t>PGIM India Small Cap Fund-Reg(G)</t>
        </is>
      </c>
      <c r="B72" s="8" t="inlineStr">
        <is>
          <t>Small cap Fund</t>
        </is>
      </c>
      <c r="C72" s="27" t="n">
        <v>-7.1</v>
      </c>
      <c r="D72" s="8" t="inlineStr"/>
      <c r="E72" s="8" t="n">
        <v>18.5</v>
      </c>
      <c r="F72" s="8" t="n">
        <v>8.5</v>
      </c>
      <c r="G72" s="8" t="n">
        <v>10.7</v>
      </c>
      <c r="H72" s="8" t="n">
        <v>92.90000000000001</v>
      </c>
      <c r="I72" s="8" t="n">
        <v>14.3</v>
      </c>
      <c r="J72" s="28" t="n">
        <v>28.7</v>
      </c>
      <c r="K72" s="8" t="n">
        <v>13</v>
      </c>
      <c r="L72" s="20" t="inlineStr">
        <is>
          <t>Avoid</t>
        </is>
      </c>
      <c r="M72" s="8" t="n">
        <v>21.4</v>
      </c>
      <c r="N72" s="8" t="inlineStr"/>
      <c r="O72" s="8" t="n">
        <v>7.1</v>
      </c>
      <c r="P72" s="8" t="n">
        <v>7.1</v>
      </c>
      <c r="Q72" s="8" t="n">
        <v>7.1</v>
      </c>
      <c r="R72" s="8" t="n">
        <v>14.3</v>
      </c>
      <c r="S72" s="8" t="n">
        <v>14.3</v>
      </c>
      <c r="T72" s="8" t="n">
        <v>1.5</v>
      </c>
      <c r="U72" s="33" t="inlineStr"/>
    </row>
    <row r="73" ht="30" customHeight="1">
      <c r="A73" s="16" t="inlineStr">
        <is>
          <t>Sundaram Large Cap Fund-Reg(G)</t>
        </is>
      </c>
      <c r="B73" s="14" t="inlineStr">
        <is>
          <t>Large Cap Fund</t>
        </is>
      </c>
      <c r="C73" s="25" t="n">
        <v>-2.1</v>
      </c>
      <c r="D73" s="14" t="n">
        <v>-1.2</v>
      </c>
      <c r="E73" s="14" t="n">
        <v>29.4</v>
      </c>
      <c r="F73" s="14" t="n">
        <v>13.3</v>
      </c>
      <c r="G73" s="14" t="n">
        <v>13.4</v>
      </c>
      <c r="H73" s="14" t="n">
        <v>60</v>
      </c>
      <c r="I73" s="14" t="n">
        <v>20</v>
      </c>
      <c r="J73" s="28" t="n">
        <v>27</v>
      </c>
      <c r="K73" s="14" t="n">
        <v>13</v>
      </c>
      <c r="L73" s="20" t="inlineStr">
        <is>
          <t>Avoid</t>
        </is>
      </c>
      <c r="M73" s="14" t="n">
        <v>26.7</v>
      </c>
      <c r="N73" s="14" t="n">
        <v>40</v>
      </c>
      <c r="O73" s="14" t="n">
        <v>20</v>
      </c>
      <c r="P73" s="14" t="n">
        <v>13.3</v>
      </c>
      <c r="Q73" s="14" t="n">
        <v>20</v>
      </c>
      <c r="R73" s="14" t="n">
        <v>0</v>
      </c>
      <c r="S73" s="14" t="n">
        <v>6.7</v>
      </c>
      <c r="T73" s="14" t="n">
        <v>1.26</v>
      </c>
      <c r="U73" s="34" t="inlineStr"/>
    </row>
    <row r="74" ht="30" customHeight="1">
      <c r="A74" s="11" t="inlineStr">
        <is>
          <t>PGIM India Flexi Cap Fund-Reg(G)</t>
        </is>
      </c>
      <c r="B74" s="8" t="inlineStr">
        <is>
          <t>Flexi Cap Fund</t>
        </is>
      </c>
      <c r="C74" s="27" t="n">
        <v>-4.1</v>
      </c>
      <c r="D74" s="8" t="n">
        <v>-2.3</v>
      </c>
      <c r="E74" s="8" t="n">
        <v>29.3</v>
      </c>
      <c r="F74" s="8" t="n">
        <v>5.4</v>
      </c>
      <c r="G74" s="8" t="n">
        <v>13.4</v>
      </c>
      <c r="H74" s="8" t="n">
        <v>53.8</v>
      </c>
      <c r="I74" s="8" t="n">
        <v>57.7</v>
      </c>
      <c r="J74" s="28" t="n">
        <v>25.7</v>
      </c>
      <c r="K74" s="8" t="n">
        <v>25</v>
      </c>
      <c r="L74" s="20" t="inlineStr">
        <is>
          <t>Avoid</t>
        </is>
      </c>
      <c r="M74" s="8" t="n">
        <v>19.2</v>
      </c>
      <c r="N74" s="8" t="n">
        <v>52.9</v>
      </c>
      <c r="O74" s="8" t="n">
        <v>19.2</v>
      </c>
      <c r="P74" s="8" t="n">
        <v>3.8</v>
      </c>
      <c r="Q74" s="8" t="n">
        <v>7.7</v>
      </c>
      <c r="R74" s="8" t="n">
        <v>3.8</v>
      </c>
      <c r="S74" s="8" t="n">
        <v>7.7</v>
      </c>
      <c r="T74" s="8" t="n">
        <v>1.3</v>
      </c>
      <c r="U74" s="33" t="inlineStr"/>
    </row>
    <row r="75" ht="30" customHeight="1">
      <c r="A75" s="16" t="inlineStr">
        <is>
          <t>Bandhan Midcap Fund-Reg(G)</t>
        </is>
      </c>
      <c r="B75" s="14" t="inlineStr">
        <is>
          <t>Mid Cap Fund</t>
        </is>
      </c>
      <c r="C75" s="25" t="n">
        <v>-8.699999999999999</v>
      </c>
      <c r="D75" s="14" t="inlineStr"/>
      <c r="E75" s="14" t="n">
        <v>11.4</v>
      </c>
      <c r="F75" s="14" t="n">
        <v>33.3</v>
      </c>
      <c r="G75" s="14" t="n">
        <v>54.8</v>
      </c>
      <c r="H75" s="14" t="n">
        <v>0</v>
      </c>
      <c r="I75" s="14" t="n">
        <v>9.5</v>
      </c>
      <c r="J75" s="28" t="n">
        <v>25.4</v>
      </c>
      <c r="K75" s="14" t="n">
        <v>19</v>
      </c>
      <c r="L75" s="20" t="inlineStr">
        <is>
          <t>Avoid</t>
        </is>
      </c>
      <c r="M75" s="14" t="n">
        <v>9.5</v>
      </c>
      <c r="N75" s="14" t="inlineStr"/>
      <c r="O75" s="14" t="n">
        <v>19</v>
      </c>
      <c r="P75" s="14" t="n">
        <v>19</v>
      </c>
      <c r="Q75" s="14" t="n">
        <v>19</v>
      </c>
      <c r="R75" s="14" t="n">
        <v>90.5</v>
      </c>
      <c r="S75" s="14" t="n">
        <v>90.5</v>
      </c>
      <c r="T75" s="14" t="n">
        <v>1.4</v>
      </c>
      <c r="U75" s="34" t="inlineStr"/>
    </row>
    <row r="76" ht="30" customHeight="1">
      <c r="A76" s="11" t="inlineStr">
        <is>
          <t>Aditya Birla SL Small Cap Fund(G)</t>
        </is>
      </c>
      <c r="B76" s="8" t="inlineStr">
        <is>
          <t>Small cap Fund</t>
        </is>
      </c>
      <c r="C76" s="27" t="n">
        <v>-9.699999999999999</v>
      </c>
      <c r="D76" s="8" t="n">
        <v>-18</v>
      </c>
      <c r="E76" s="8" t="n">
        <v>2.9</v>
      </c>
      <c r="F76" s="8" t="n">
        <v>57.1</v>
      </c>
      <c r="G76" s="8" t="n">
        <v>32.2</v>
      </c>
      <c r="H76" s="8" t="n">
        <v>0</v>
      </c>
      <c r="I76" s="8" t="n">
        <v>35.7</v>
      </c>
      <c r="J76" s="28" t="n">
        <v>24.8</v>
      </c>
      <c r="K76" s="8" t="n">
        <v>14</v>
      </c>
      <c r="L76" s="20" t="inlineStr">
        <is>
          <t>Avoid</t>
        </is>
      </c>
      <c r="M76" s="8" t="n">
        <v>0</v>
      </c>
      <c r="N76" s="8" t="n">
        <v>0</v>
      </c>
      <c r="O76" s="8" t="n">
        <v>14.3</v>
      </c>
      <c r="P76" s="8" t="n">
        <v>50</v>
      </c>
      <c r="Q76" s="8" t="n">
        <v>50</v>
      </c>
      <c r="R76" s="8" t="n">
        <v>85.7</v>
      </c>
      <c r="S76" s="8" t="n">
        <v>50</v>
      </c>
      <c r="T76" s="8" t="n">
        <v>0.99</v>
      </c>
      <c r="U76" s="33" t="inlineStr"/>
    </row>
    <row r="77" ht="30" customHeight="1">
      <c r="A77" s="16" t="inlineStr">
        <is>
          <t>Axis Large Cap Fund-Reg(G)</t>
        </is>
      </c>
      <c r="B77" s="14" t="inlineStr">
        <is>
          <t>Large Cap Fund</t>
        </is>
      </c>
      <c r="C77" s="25" t="n">
        <v>-1</v>
      </c>
      <c r="D77" s="14" t="n">
        <v>-3.2</v>
      </c>
      <c r="E77" s="14" t="n">
        <v>34.7</v>
      </c>
      <c r="F77" s="14" t="n">
        <v>4</v>
      </c>
      <c r="G77" s="14" t="n">
        <v>23.3</v>
      </c>
      <c r="H77" s="14" t="n">
        <v>20</v>
      </c>
      <c r="I77" s="14" t="n">
        <v>73.3</v>
      </c>
      <c r="J77" s="28" t="n">
        <v>23.2</v>
      </c>
      <c r="K77" s="14" t="n">
        <v>14</v>
      </c>
      <c r="L77" s="20" t="inlineStr">
        <is>
          <t>Avoid</t>
        </is>
      </c>
      <c r="M77" s="14" t="n">
        <v>40</v>
      </c>
      <c r="N77" s="14" t="n">
        <v>26.7</v>
      </c>
      <c r="O77" s="14" t="n">
        <v>33.3</v>
      </c>
      <c r="P77" s="14" t="n">
        <v>0</v>
      </c>
      <c r="Q77" s="14" t="n">
        <v>0</v>
      </c>
      <c r="R77" s="14" t="n">
        <v>20</v>
      </c>
      <c r="S77" s="14" t="n">
        <v>13.3</v>
      </c>
      <c r="T77" s="14" t="n">
        <v>0.86</v>
      </c>
      <c r="U77" s="34" t="inlineStr"/>
    </row>
    <row r="78" ht="30" customHeight="1">
      <c r="A78" s="11" t="inlineStr">
        <is>
          <t>UTI Mid Cap Fund-Reg(IDCW)</t>
        </is>
      </c>
      <c r="B78" s="8" t="inlineStr">
        <is>
          <t>Mid Cap Fund</t>
        </is>
      </c>
      <c r="C78" s="27" t="n">
        <v>-6.2</v>
      </c>
      <c r="D78" s="8" t="n">
        <v>-5</v>
      </c>
      <c r="E78" s="8" t="n">
        <v>27.1</v>
      </c>
      <c r="F78" s="8" t="n">
        <v>8.6</v>
      </c>
      <c r="G78" s="8" t="n">
        <v>19</v>
      </c>
      <c r="H78" s="8" t="n">
        <v>19</v>
      </c>
      <c r="I78" s="8" t="n">
        <v>61.9</v>
      </c>
      <c r="J78" s="28" t="n">
        <v>20.6</v>
      </c>
      <c r="K78" s="8" t="n">
        <v>20</v>
      </c>
      <c r="L78" s="20" t="inlineStr">
        <is>
          <t>Avoid</t>
        </is>
      </c>
      <c r="M78" s="8" t="n">
        <v>28.6</v>
      </c>
      <c r="N78" s="8" t="n">
        <v>23.5</v>
      </c>
      <c r="O78" s="8" t="n">
        <v>28.6</v>
      </c>
      <c r="P78" s="8" t="n">
        <v>9.5</v>
      </c>
      <c r="Q78" s="8" t="n">
        <v>9.5</v>
      </c>
      <c r="R78" s="8" t="n">
        <v>4.8</v>
      </c>
      <c r="S78" s="8" t="n">
        <v>9.5</v>
      </c>
      <c r="T78" s="8" t="n">
        <v>0.84</v>
      </c>
      <c r="U78" s="33" t="inlineStr"/>
    </row>
    <row r="79" ht="30" customHeight="1">
      <c r="A79" s="16" t="inlineStr">
        <is>
          <t>Mirae Asset Large Cap Fund-Reg(G)</t>
        </is>
      </c>
      <c r="B79" s="14" t="inlineStr">
        <is>
          <t>Large Cap Fund</t>
        </is>
      </c>
      <c r="C79" s="25" t="n">
        <v>-2</v>
      </c>
      <c r="D79" s="14" t="n">
        <v>-1.5</v>
      </c>
      <c r="E79" s="14" t="n">
        <v>32</v>
      </c>
      <c r="F79" s="14" t="n">
        <v>14.7</v>
      </c>
      <c r="G79" s="14" t="n">
        <v>13.4</v>
      </c>
      <c r="H79" s="14" t="n">
        <v>6.7</v>
      </c>
      <c r="I79" s="14" t="n">
        <v>80</v>
      </c>
      <c r="J79" s="28" t="n">
        <v>20.4</v>
      </c>
      <c r="K79" s="14" t="n">
        <v>15</v>
      </c>
      <c r="L79" s="20" t="inlineStr">
        <is>
          <t>Avoid</t>
        </is>
      </c>
      <c r="M79" s="14" t="n">
        <v>33.3</v>
      </c>
      <c r="N79" s="14" t="n">
        <v>33.3</v>
      </c>
      <c r="O79" s="14" t="n">
        <v>26.7</v>
      </c>
      <c r="P79" s="14" t="n">
        <v>20</v>
      </c>
      <c r="Q79" s="14" t="n">
        <v>13.3</v>
      </c>
      <c r="R79" s="14" t="n">
        <v>6.7</v>
      </c>
      <c r="S79" s="14" t="n">
        <v>0</v>
      </c>
      <c r="T79" s="14" t="n">
        <v>0.97</v>
      </c>
      <c r="U79" s="34" t="inlineStr"/>
    </row>
    <row r="80" ht="30" customHeight="1">
      <c r="A80" s="11" t="inlineStr">
        <is>
          <t>LIC MF Flexi Cap Fund-Reg(G)</t>
        </is>
      </c>
      <c r="B80" s="8" t="inlineStr">
        <is>
          <t>Flexi Cap Fund</t>
        </is>
      </c>
      <c r="C80" s="27" t="n">
        <v>-2.2</v>
      </c>
      <c r="D80" s="8" t="n">
        <v>-3.2</v>
      </c>
      <c r="E80" s="8" t="n">
        <v>42.2</v>
      </c>
      <c r="F80" s="8" t="n">
        <v>9.199999999999999</v>
      </c>
      <c r="G80" s="8" t="n">
        <v>19.2</v>
      </c>
      <c r="H80" s="8" t="n">
        <v>3.8</v>
      </c>
      <c r="I80" s="8" t="n">
        <v>0</v>
      </c>
      <c r="J80" s="28" t="n">
        <v>18.4</v>
      </c>
      <c r="K80" s="8" t="n">
        <v>26</v>
      </c>
      <c r="L80" s="20" t="inlineStr">
        <is>
          <t>Avoid</t>
        </is>
      </c>
      <c r="M80" s="8" t="n">
        <v>42.3</v>
      </c>
      <c r="N80" s="8" t="n">
        <v>47.1</v>
      </c>
      <c r="O80" s="8" t="n">
        <v>34.6</v>
      </c>
      <c r="P80" s="8" t="n">
        <v>7.7</v>
      </c>
      <c r="Q80" s="8" t="n">
        <v>3.8</v>
      </c>
      <c r="R80" s="8" t="n">
        <v>23.1</v>
      </c>
      <c r="S80" s="8" t="n">
        <v>3.8</v>
      </c>
      <c r="T80" s="8" t="n">
        <v>0.73</v>
      </c>
      <c r="U80" s="33" t="inlineStr"/>
    </row>
    <row r="81" ht="30" customHeight="1">
      <c r="A81" s="16" t="inlineStr">
        <is>
          <t>UTI Flexi Cap Fund-Reg(IDCW)</t>
        </is>
      </c>
      <c r="B81" s="14" t="inlineStr">
        <is>
          <t>Flexi Cap Fund</t>
        </is>
      </c>
      <c r="C81" s="25" t="n">
        <v>-6.6</v>
      </c>
      <c r="D81" s="14" t="n">
        <v>-7.1</v>
      </c>
      <c r="E81" s="14" t="n">
        <v>14.6</v>
      </c>
      <c r="F81" s="14" t="n">
        <v>0</v>
      </c>
      <c r="G81" s="14" t="n">
        <v>0</v>
      </c>
      <c r="H81" s="14" t="n">
        <v>42.3</v>
      </c>
      <c r="I81" s="14" t="n">
        <v>88.5</v>
      </c>
      <c r="J81" s="28" t="n">
        <v>16.5</v>
      </c>
      <c r="K81" s="14" t="n">
        <v>27</v>
      </c>
      <c r="L81" s="20" t="inlineStr">
        <is>
          <t>Avoid</t>
        </is>
      </c>
      <c r="M81" s="14" t="n">
        <v>11.5</v>
      </c>
      <c r="N81" s="14" t="n">
        <v>29.4</v>
      </c>
      <c r="O81" s="14" t="n">
        <v>0</v>
      </c>
      <c r="P81" s="14" t="n">
        <v>0</v>
      </c>
      <c r="Q81" s="14" t="n">
        <v>0</v>
      </c>
      <c r="R81" s="14" t="n">
        <v>0</v>
      </c>
      <c r="S81" s="14" t="n">
        <v>0</v>
      </c>
      <c r="T81" s="14" t="n">
        <v>0.63</v>
      </c>
      <c r="U81" s="34" t="inlineStr"/>
    </row>
    <row r="82" ht="30" customHeight="1">
      <c r="A82" s="11" t="inlineStr">
        <is>
          <t>PGIM India Midcap Fund-Reg(G)</t>
        </is>
      </c>
      <c r="B82" s="8" t="inlineStr">
        <is>
          <t>Mid Cap Fund</t>
        </is>
      </c>
      <c r="C82" s="27" t="n">
        <v>-10.4</v>
      </c>
      <c r="D82" s="8" t="n">
        <v>-5.3</v>
      </c>
      <c r="E82" s="8" t="n">
        <v>5.3</v>
      </c>
      <c r="F82" s="8" t="n">
        <v>0</v>
      </c>
      <c r="G82" s="8" t="n">
        <v>2.4</v>
      </c>
      <c r="H82" s="8" t="n">
        <v>52.4</v>
      </c>
      <c r="I82" s="8" t="n">
        <v>78.59999999999999</v>
      </c>
      <c r="J82" s="28" t="n">
        <v>16.3</v>
      </c>
      <c r="K82" s="8" t="n">
        <v>21</v>
      </c>
      <c r="L82" s="20" t="inlineStr">
        <is>
          <t>Avoid</t>
        </is>
      </c>
      <c r="M82" s="8" t="n">
        <v>0</v>
      </c>
      <c r="N82" s="8" t="n">
        <v>17.6</v>
      </c>
      <c r="O82" s="8" t="n">
        <v>0</v>
      </c>
      <c r="P82" s="8" t="n">
        <v>0</v>
      </c>
      <c r="Q82" s="8" t="n">
        <v>0</v>
      </c>
      <c r="R82" s="8" t="n">
        <v>0</v>
      </c>
      <c r="S82" s="8" t="n">
        <v>4.8</v>
      </c>
      <c r="T82" s="8" t="n">
        <v>1.2</v>
      </c>
      <c r="U82" s="33" t="inlineStr"/>
    </row>
    <row r="83" ht="30" customHeight="1">
      <c r="A83" s="16" t="inlineStr">
        <is>
          <t>UTI Large Cap Fund-Reg(IDCW)</t>
        </is>
      </c>
      <c r="B83" s="14" t="inlineStr">
        <is>
          <t>Large Cap Fund</t>
        </is>
      </c>
      <c r="C83" s="25" t="n">
        <v>-8.4</v>
      </c>
      <c r="D83" s="14" t="n">
        <v>-12</v>
      </c>
      <c r="E83" s="14" t="n">
        <v>0</v>
      </c>
      <c r="F83" s="14" t="n">
        <v>8</v>
      </c>
      <c r="G83" s="14" t="n">
        <v>10</v>
      </c>
      <c r="H83" s="14" t="n">
        <v>46.7</v>
      </c>
      <c r="I83" s="14" t="n">
        <v>40</v>
      </c>
      <c r="J83" s="28" t="n">
        <v>15.8</v>
      </c>
      <c r="K83" s="14" t="n">
        <v>16</v>
      </c>
      <c r="L83" s="20" t="inlineStr">
        <is>
          <t>Avoid</t>
        </is>
      </c>
      <c r="M83" s="14" t="n">
        <v>0</v>
      </c>
      <c r="N83" s="14" t="n">
        <v>0</v>
      </c>
      <c r="O83" s="14" t="n">
        <v>0</v>
      </c>
      <c r="P83" s="14" t="n">
        <v>6.7</v>
      </c>
      <c r="Q83" s="14" t="n">
        <v>6.7</v>
      </c>
      <c r="R83" s="14" t="n">
        <v>13.3</v>
      </c>
      <c r="S83" s="14" t="n">
        <v>20</v>
      </c>
      <c r="T83" s="14" t="n">
        <v>0.83</v>
      </c>
      <c r="U83" s="34" t="inlineStr"/>
    </row>
    <row r="84" ht="30" customHeight="1">
      <c r="A84" s="11" t="inlineStr">
        <is>
          <t>Quant Mid Cap Fund(G)</t>
        </is>
      </c>
      <c r="B84" s="8" t="inlineStr">
        <is>
          <t>Mid Cap Fund</t>
        </is>
      </c>
      <c r="C84" s="27" t="n">
        <v>-6.7</v>
      </c>
      <c r="D84" s="8" t="n">
        <v>-0.7</v>
      </c>
      <c r="E84" s="8" t="n">
        <v>35.8</v>
      </c>
      <c r="F84" s="8" t="n">
        <v>6.7</v>
      </c>
      <c r="G84" s="8" t="n">
        <v>2.4</v>
      </c>
      <c r="H84" s="8" t="n">
        <v>9.5</v>
      </c>
      <c r="I84" s="8" t="n">
        <v>52.4</v>
      </c>
      <c r="J84" s="28" t="n">
        <v>15.7</v>
      </c>
      <c r="K84" s="8" t="n">
        <v>22</v>
      </c>
      <c r="L84" s="20" t="inlineStr">
        <is>
          <t>Avoid</t>
        </is>
      </c>
      <c r="M84" s="8" t="n">
        <v>23.8</v>
      </c>
      <c r="N84" s="8" t="n">
        <v>76.5</v>
      </c>
      <c r="O84" s="8" t="n">
        <v>4.8</v>
      </c>
      <c r="P84" s="8" t="n">
        <v>4.8</v>
      </c>
      <c r="Q84" s="8" t="n">
        <v>4.8</v>
      </c>
      <c r="R84" s="8" t="n">
        <v>14.3</v>
      </c>
      <c r="S84" s="8" t="n">
        <v>0</v>
      </c>
      <c r="T84" s="8" t="n">
        <v>1</v>
      </c>
      <c r="U84" s="33" t="inlineStr"/>
    </row>
    <row r="85" ht="30" customHeight="1">
      <c r="A85" s="16" t="inlineStr">
        <is>
          <t>Tata Small Cap Fund-Reg(G)</t>
        </is>
      </c>
      <c r="B85" s="14" t="inlineStr">
        <is>
          <t>Small cap Fund</t>
        </is>
      </c>
      <c r="C85" s="25" t="n">
        <v>-9.5</v>
      </c>
      <c r="D85" s="14" t="n">
        <v>-1.6</v>
      </c>
      <c r="E85" s="14" t="n">
        <v>16.1</v>
      </c>
      <c r="F85" s="14" t="n">
        <v>0</v>
      </c>
      <c r="G85" s="14" t="n">
        <v>0</v>
      </c>
      <c r="H85" s="14" t="n">
        <v>28.6</v>
      </c>
      <c r="I85" s="14" t="n">
        <v>100</v>
      </c>
      <c r="J85" s="28" t="n">
        <v>14.7</v>
      </c>
      <c r="K85" s="14" t="n">
        <v>15</v>
      </c>
      <c r="L85" s="20" t="inlineStr">
        <is>
          <t>Avoid</t>
        </is>
      </c>
      <c r="M85" s="14" t="n">
        <v>7.1</v>
      </c>
      <c r="N85" s="14" t="n">
        <v>41.7</v>
      </c>
      <c r="O85" s="14" t="n">
        <v>0</v>
      </c>
      <c r="P85" s="14" t="n">
        <v>0</v>
      </c>
      <c r="Q85" s="14" t="n">
        <v>0</v>
      </c>
      <c r="R85" s="14" t="n">
        <v>0</v>
      </c>
      <c r="S85" s="14" t="n">
        <v>0</v>
      </c>
      <c r="T85" s="14" t="n">
        <v>1.28</v>
      </c>
      <c r="U85" s="34" t="inlineStr"/>
    </row>
  </sheetData>
  <autoFilter ref="A5:U85"/>
  <mergeCells count="3">
    <mergeCell ref="A3:S3"/>
    <mergeCell ref="A2:S2"/>
    <mergeCell ref="A1:S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00ACC1"/>
    <outlinePr summaryBelow="1" summaryRight="1"/>
    <pageSetUpPr/>
  </sheetPr>
  <dimension ref="A1:L93"/>
  <sheetViews>
    <sheetView workbookViewId="0">
      <selection activeCell="A1" sqref="A1"/>
    </sheetView>
  </sheetViews>
  <sheetFormatPr baseColWidth="8" defaultRowHeight="15"/>
  <cols>
    <col width="13" customWidth="1" min="1" max="1"/>
    <col width="3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0" customHeight="1">
      <c r="A1" s="22" t="inlineStr">
        <is>
          <t>WITHIN-CATEGORY RANKINGS</t>
        </is>
      </c>
    </row>
    <row r="3" ht="30" customHeight="1">
      <c r="A3" s="3" t="inlineStr">
        <is>
          <t>LARGE CAP — 16 Funds</t>
        </is>
      </c>
      <c r="B3" s="31" t="n"/>
      <c r="C3" s="31" t="n"/>
      <c r="D3" s="31" t="n"/>
      <c r="E3" s="31" t="n"/>
      <c r="F3" s="31" t="n"/>
      <c r="G3" s="31" t="n"/>
      <c r="H3" s="31" t="n"/>
      <c r="I3" s="31" t="n"/>
      <c r="J3" s="31" t="n"/>
      <c r="K3" s="31" t="n"/>
      <c r="L3" s="32" t="n"/>
    </row>
    <row r="4" ht="30" customHeight="1">
      <c r="A4" s="4" t="inlineStr">
        <is>
          <t>Rank</t>
        </is>
      </c>
      <c r="B4" s="4" t="inlineStr">
        <is>
          <t>Fund</t>
        </is>
      </c>
      <c r="C4" s="4" t="inlineStr">
        <is>
          <t>Score</t>
        </is>
      </c>
      <c r="D4" s="4" t="inlineStr">
        <is>
          <t>Rating</t>
        </is>
      </c>
      <c r="E4" s="4" t="inlineStr">
        <is>
          <t>Alpha 3Y</t>
        </is>
      </c>
      <c r="F4" s="4" t="inlineStr">
        <is>
          <t>Sharpe</t>
        </is>
      </c>
      <c r="G4" s="4" t="inlineStr">
        <is>
          <t>Sortino</t>
        </is>
      </c>
      <c r="H4" s="4" t="inlineStr">
        <is>
          <t>Down Cap</t>
        </is>
      </c>
      <c r="I4" s="4" t="inlineStr">
        <is>
          <t>Up Cap</t>
        </is>
      </c>
      <c r="J4" s="4" t="inlineStr">
        <is>
          <t>Beta</t>
        </is>
      </c>
      <c r="K4" s="4" t="inlineStr">
        <is>
          <t>Expense</t>
        </is>
      </c>
      <c r="L4" s="4" t="inlineStr">
        <is>
          <t>Fund Manager</t>
        </is>
      </c>
    </row>
    <row r="5" ht="30" customHeight="1">
      <c r="A5" s="14" t="n">
        <v>1</v>
      </c>
      <c r="B5" s="16" t="inlineStr">
        <is>
          <t>DSP Large Cap Fund</t>
        </is>
      </c>
      <c r="C5" s="9" t="n">
        <v>92.5</v>
      </c>
      <c r="D5" s="9" t="inlineStr">
        <is>
          <t>Strong Buy</t>
        </is>
      </c>
      <c r="E5" s="15" t="inlineStr">
        <is>
          <t>+3.96%</t>
        </is>
      </c>
      <c r="F5" s="14" t="inlineStr">
        <is>
          <t>0.33</t>
        </is>
      </c>
      <c r="G5" s="14" t="inlineStr">
        <is>
          <t>0.63</t>
        </is>
      </c>
      <c r="H5" s="14" t="inlineStr">
        <is>
          <t>76.0</t>
        </is>
      </c>
      <c r="I5" s="14" t="inlineStr">
        <is>
          <t>103.2</t>
        </is>
      </c>
      <c r="J5" s="14" t="inlineStr">
        <is>
          <t>0.91</t>
        </is>
      </c>
      <c r="K5" s="14" t="inlineStr">
        <is>
          <t>1.82%</t>
        </is>
      </c>
      <c r="L5" s="16" t="inlineStr">
        <is>
          <t>Abhishek Singh</t>
        </is>
      </c>
    </row>
    <row r="6" ht="30" customHeight="1">
      <c r="A6" s="8" t="n">
        <v>2</v>
      </c>
      <c r="B6" s="11" t="inlineStr">
        <is>
          <t>ICICI Pru Large Cap Fund</t>
        </is>
      </c>
      <c r="C6" s="9" t="n">
        <v>90.7</v>
      </c>
      <c r="D6" s="9" t="inlineStr">
        <is>
          <t>Strong Buy</t>
        </is>
      </c>
      <c r="E6" s="10" t="inlineStr">
        <is>
          <t>+2.62%</t>
        </is>
      </c>
      <c r="F6" s="8" t="inlineStr">
        <is>
          <t>0.33</t>
        </is>
      </c>
      <c r="G6" s="8" t="inlineStr">
        <is>
          <t>0.60</t>
        </is>
      </c>
      <c r="H6" s="8" t="inlineStr">
        <is>
          <t>82.3</t>
        </is>
      </c>
      <c r="I6" s="8" t="inlineStr">
        <is>
          <t>101.7</t>
        </is>
      </c>
      <c r="J6" s="8" t="inlineStr">
        <is>
          <t>0.91</t>
        </is>
      </c>
      <c r="K6" s="8" t="inlineStr">
        <is>
          <t>1.40%</t>
        </is>
      </c>
      <c r="L6" s="11" t="inlineStr">
        <is>
          <t>Sankaran Naren</t>
        </is>
      </c>
    </row>
    <row r="7" ht="30" customHeight="1">
      <c r="A7" s="14" t="n">
        <v>3</v>
      </c>
      <c r="B7" s="16" t="inlineStr">
        <is>
          <t>HDFC Large Cap Fund</t>
        </is>
      </c>
      <c r="C7" s="14" t="n">
        <v>67.5</v>
      </c>
      <c r="D7" s="17" t="inlineStr">
        <is>
          <t>Buy</t>
        </is>
      </c>
      <c r="E7" s="15" t="inlineStr">
        <is>
          <t>+0.30%</t>
        </is>
      </c>
      <c r="F7" s="14" t="inlineStr">
        <is>
          <t>0.27</t>
        </is>
      </c>
      <c r="G7" s="14" t="inlineStr">
        <is>
          <t>0.48</t>
        </is>
      </c>
      <c r="H7" s="14" t="inlineStr">
        <is>
          <t>88.3</t>
        </is>
      </c>
      <c r="I7" s="14" t="inlineStr">
        <is>
          <t>95.2</t>
        </is>
      </c>
      <c r="J7" s="14" t="inlineStr">
        <is>
          <t>0.94</t>
        </is>
      </c>
      <c r="K7" s="14" t="inlineStr">
        <is>
          <t>1.59%</t>
        </is>
      </c>
      <c r="L7" s="16" t="inlineStr">
        <is>
          <t>Rahul Baijal</t>
        </is>
      </c>
    </row>
    <row r="8" ht="30" customHeight="1">
      <c r="A8" s="8" t="n">
        <v>4</v>
      </c>
      <c r="B8" s="11" t="inlineStr">
        <is>
          <t>Nippon India Large Cap Fund</t>
        </is>
      </c>
      <c r="C8" s="8" t="n">
        <v>66.8</v>
      </c>
      <c r="D8" s="17" t="inlineStr">
        <is>
          <t>Buy</t>
        </is>
      </c>
      <c r="E8" s="27" t="inlineStr">
        <is>
          <t>-2.51%</t>
        </is>
      </c>
      <c r="F8" s="8" t="inlineStr">
        <is>
          <t>0.33</t>
        </is>
      </c>
      <c r="G8" s="8" t="inlineStr">
        <is>
          <t>0.61</t>
        </is>
      </c>
      <c r="H8" s="8" t="inlineStr">
        <is>
          <t>86.4</t>
        </is>
      </c>
      <c r="I8" s="8" t="inlineStr">
        <is>
          <t>112.2</t>
        </is>
      </c>
      <c r="J8" s="8" t="inlineStr">
        <is>
          <t>0.99</t>
        </is>
      </c>
      <c r="K8" s="8" t="inlineStr">
        <is>
          <t>1.47%</t>
        </is>
      </c>
      <c r="L8" s="11" t="inlineStr">
        <is>
          <t>Sailesh Raj Bhan</t>
        </is>
      </c>
    </row>
    <row r="9" ht="30" customHeight="1">
      <c r="A9" s="14" t="n">
        <v>5</v>
      </c>
      <c r="B9" s="16" t="inlineStr">
        <is>
          <t>Bandhan Large Cap Fund</t>
        </is>
      </c>
      <c r="C9" s="14" t="n">
        <v>65.8</v>
      </c>
      <c r="D9" s="17" t="inlineStr">
        <is>
          <t>Buy</t>
        </is>
      </c>
      <c r="E9" s="15" t="inlineStr">
        <is>
          <t>+3.41%</t>
        </is>
      </c>
      <c r="F9" s="14" t="inlineStr">
        <is>
          <t>0.28</t>
        </is>
      </c>
      <c r="G9" s="14" t="inlineStr">
        <is>
          <t>0.52</t>
        </is>
      </c>
      <c r="H9" s="14" t="inlineStr">
        <is>
          <t>105.4</t>
        </is>
      </c>
      <c r="I9" s="14" t="inlineStr">
        <is>
          <t>116.4</t>
        </is>
      </c>
      <c r="J9" s="14" t="inlineStr">
        <is>
          <t>1.08</t>
        </is>
      </c>
      <c r="K9" s="14" t="inlineStr">
        <is>
          <t>2.02%</t>
        </is>
      </c>
      <c r="L9" s="16" t="inlineStr">
        <is>
          <t>Manish Gunwani</t>
        </is>
      </c>
    </row>
    <row r="10" ht="30" customHeight="1">
      <c r="A10" s="8" t="n">
        <v>6</v>
      </c>
      <c r="B10" s="11" t="inlineStr">
        <is>
          <t>Baroda BNP Paribas Large Cap Fund</t>
        </is>
      </c>
      <c r="C10" s="8" t="n">
        <v>62.8</v>
      </c>
      <c r="D10" s="18" t="inlineStr">
        <is>
          <t>Hold</t>
        </is>
      </c>
      <c r="E10" s="10" t="inlineStr">
        <is>
          <t>+1.04%</t>
        </is>
      </c>
      <c r="F10" s="8" t="inlineStr">
        <is>
          <t>0.28</t>
        </is>
      </c>
      <c r="G10" s="8" t="inlineStr">
        <is>
          <t>0.50</t>
        </is>
      </c>
      <c r="H10" s="8" t="inlineStr">
        <is>
          <t>95.8</t>
        </is>
      </c>
      <c r="I10" s="8" t="inlineStr">
        <is>
          <t>101.7</t>
        </is>
      </c>
      <c r="J10" s="8" t="inlineStr">
        <is>
          <t>0.95</t>
        </is>
      </c>
      <c r="K10" s="8" t="inlineStr">
        <is>
          <t>1.98%</t>
        </is>
      </c>
      <c r="L10" s="11" t="inlineStr">
        <is>
          <t>Jitendra Sriram</t>
        </is>
      </c>
    </row>
    <row r="11" ht="30" customHeight="1">
      <c r="A11" s="14" t="n">
        <v>7</v>
      </c>
      <c r="B11" s="16" t="inlineStr">
        <is>
          <t>Kotak Large Cap Fund(IDCW)</t>
        </is>
      </c>
      <c r="C11" s="14" t="n">
        <v>56.1</v>
      </c>
      <c r="D11" s="18" t="inlineStr">
        <is>
          <t>Hold</t>
        </is>
      </c>
      <c r="E11" s="15" t="inlineStr">
        <is>
          <t>+0.32%</t>
        </is>
      </c>
      <c r="F11" s="14" t="inlineStr">
        <is>
          <t>0.26</t>
        </is>
      </c>
      <c r="G11" s="14" t="inlineStr">
        <is>
          <t>0.48</t>
        </is>
      </c>
      <c r="H11" s="14" t="inlineStr">
        <is>
          <t>96.5</t>
        </is>
      </c>
      <c r="I11" s="14" t="inlineStr">
        <is>
          <t>99.6</t>
        </is>
      </c>
      <c r="J11" s="14" t="inlineStr">
        <is>
          <t>0.97</t>
        </is>
      </c>
      <c r="K11" s="14" t="inlineStr">
        <is>
          <t>1.73%</t>
        </is>
      </c>
      <c r="L11" s="16" t="inlineStr">
        <is>
          <t>Rohit Tandon</t>
        </is>
      </c>
    </row>
    <row r="12" ht="30" customHeight="1">
      <c r="A12" s="8" t="n">
        <v>8</v>
      </c>
      <c r="B12" s="11" t="inlineStr">
        <is>
          <t>SBI Large Cap Fund</t>
        </is>
      </c>
      <c r="C12" s="8" t="n">
        <v>46.4</v>
      </c>
      <c r="D12" s="19" t="inlineStr">
        <is>
          <t>Underweight</t>
        </is>
      </c>
      <c r="E12" s="27" t="inlineStr">
        <is>
          <t>-6.75%</t>
        </is>
      </c>
      <c r="F12" s="8" t="inlineStr">
        <is>
          <t>0.26</t>
        </is>
      </c>
      <c r="G12" s="8" t="inlineStr">
        <is>
          <t>0.47</t>
        </is>
      </c>
      <c r="H12" s="8" t="inlineStr">
        <is>
          <t>85.5</t>
        </is>
      </c>
      <c r="I12" s="8" t="inlineStr">
        <is>
          <t>95.9</t>
        </is>
      </c>
      <c r="J12" s="8" t="inlineStr">
        <is>
          <t>0.91</t>
        </is>
      </c>
      <c r="K12" s="8" t="inlineStr">
        <is>
          <t>1.47%</t>
        </is>
      </c>
      <c r="L12" s="11" t="inlineStr">
        <is>
          <t>Saurabh Pant</t>
        </is>
      </c>
    </row>
    <row r="13" ht="30" customHeight="1">
      <c r="A13" s="14" t="n">
        <v>9</v>
      </c>
      <c r="B13" s="16" t="inlineStr">
        <is>
          <t>Franklin India Large Cap Fund</t>
        </is>
      </c>
      <c r="C13" s="14" t="n">
        <v>45.2</v>
      </c>
      <c r="D13" s="19" t="inlineStr">
        <is>
          <t>Underweight</t>
        </is>
      </c>
      <c r="E13" s="25" t="inlineStr">
        <is>
          <t>-0.01%</t>
        </is>
      </c>
      <c r="F13" s="14" t="inlineStr">
        <is>
          <t>0.26</t>
        </is>
      </c>
      <c r="G13" s="14" t="inlineStr">
        <is>
          <t>0.47</t>
        </is>
      </c>
      <c r="H13" s="14" t="inlineStr">
        <is>
          <t>94.0</t>
        </is>
      </c>
      <c r="I13" s="14" t="inlineStr">
        <is>
          <t>96.2</t>
        </is>
      </c>
      <c r="J13" s="14" t="inlineStr">
        <is>
          <t>0.93</t>
        </is>
      </c>
      <c r="K13" s="14" t="inlineStr">
        <is>
          <t>1.86%</t>
        </is>
      </c>
      <c r="L13" s="16" t="inlineStr">
        <is>
          <t>Venkatesh Sanjeevi</t>
        </is>
      </c>
    </row>
    <row r="14" ht="30" customHeight="1">
      <c r="A14" s="8" t="n">
        <v>10</v>
      </c>
      <c r="B14" s="11" t="inlineStr">
        <is>
          <t>Aditya Birla SL Large Cap Fund</t>
        </is>
      </c>
      <c r="C14" s="8" t="n">
        <v>42</v>
      </c>
      <c r="D14" s="19" t="inlineStr">
        <is>
          <t>Underweight</t>
        </is>
      </c>
      <c r="E14" s="10" t="inlineStr">
        <is>
          <t>+0.07%</t>
        </is>
      </c>
      <c r="F14" s="8" t="inlineStr">
        <is>
          <t>0.25</t>
        </is>
      </c>
      <c r="G14" s="8" t="inlineStr">
        <is>
          <t>0.46</t>
        </is>
      </c>
      <c r="H14" s="8" t="inlineStr">
        <is>
          <t>98.0</t>
        </is>
      </c>
      <c r="I14" s="8" t="inlineStr">
        <is>
          <t>99.0</t>
        </is>
      </c>
      <c r="J14" s="8" t="inlineStr">
        <is>
          <t>0.98</t>
        </is>
      </c>
      <c r="K14" s="8" t="inlineStr">
        <is>
          <t>1.63%</t>
        </is>
      </c>
      <c r="L14" s="11" t="inlineStr">
        <is>
          <t>Harish krishnan</t>
        </is>
      </c>
    </row>
    <row r="15" ht="30" customHeight="1">
      <c r="A15" s="14" t="n">
        <v>11</v>
      </c>
      <c r="B15" s="16" t="inlineStr">
        <is>
          <t>Canara Rob Large Cap Fund</t>
        </is>
      </c>
      <c r="C15" s="14" t="n">
        <v>41.8</v>
      </c>
      <c r="D15" s="19" t="inlineStr">
        <is>
          <t>Underweight</t>
        </is>
      </c>
      <c r="E15" s="25" t="inlineStr">
        <is>
          <t>-6.32%</t>
        </is>
      </c>
      <c r="F15" s="14" t="inlineStr">
        <is>
          <t>0.26</t>
        </is>
      </c>
      <c r="G15" s="14" t="inlineStr">
        <is>
          <t>0.47</t>
        </is>
      </c>
      <c r="H15" s="14" t="inlineStr">
        <is>
          <t>90.4</t>
        </is>
      </c>
      <c r="I15" s="14" t="inlineStr">
        <is>
          <t>99.5</t>
        </is>
      </c>
      <c r="J15" s="14" t="inlineStr">
        <is>
          <t>0.96</t>
        </is>
      </c>
      <c r="K15" s="14" t="inlineStr">
        <is>
          <t>1.65%</t>
        </is>
      </c>
      <c r="L15" s="16" t="inlineStr">
        <is>
          <t>Shridatta Bhandwaldar</t>
        </is>
      </c>
    </row>
    <row r="16" ht="30" customHeight="1">
      <c r="A16" s="8" t="n">
        <v>12</v>
      </c>
      <c r="B16" s="11" t="inlineStr">
        <is>
          <t>Tata Large Cap Fund</t>
        </is>
      </c>
      <c r="C16" s="8" t="n">
        <v>36</v>
      </c>
      <c r="D16" s="19" t="inlineStr">
        <is>
          <t>Underweight</t>
        </is>
      </c>
      <c r="E16" s="10" t="inlineStr">
        <is>
          <t>+0.01%</t>
        </is>
      </c>
      <c r="F16" s="8" t="inlineStr">
        <is>
          <t>0.25</t>
        </is>
      </c>
      <c r="G16" s="8" t="inlineStr">
        <is>
          <t>0.46</t>
        </is>
      </c>
      <c r="H16" s="8" t="inlineStr">
        <is>
          <t>98.5</t>
        </is>
      </c>
      <c r="I16" s="8" t="inlineStr">
        <is>
          <t>99.4</t>
        </is>
      </c>
      <c r="J16" s="8" t="inlineStr">
        <is>
          <t>0.99</t>
        </is>
      </c>
      <c r="K16" s="8" t="inlineStr">
        <is>
          <t>1.99%</t>
        </is>
      </c>
      <c r="L16" s="11" t="inlineStr">
        <is>
          <t>Abhinav Sharma</t>
        </is>
      </c>
    </row>
    <row r="17" ht="30" customHeight="1">
      <c r="A17" s="14" t="n">
        <v>13</v>
      </c>
      <c r="B17" s="16" t="inlineStr">
        <is>
          <t>Sundaram Large Cap Fund</t>
        </is>
      </c>
      <c r="C17" s="14" t="n">
        <v>27</v>
      </c>
      <c r="D17" s="20" t="inlineStr">
        <is>
          <t>Avoid</t>
        </is>
      </c>
      <c r="E17" s="25" t="inlineStr">
        <is>
          <t>-2.12%</t>
        </is>
      </c>
      <c r="F17" s="14" t="inlineStr">
        <is>
          <t>0.21</t>
        </is>
      </c>
      <c r="G17" s="14" t="inlineStr">
        <is>
          <t>0.38</t>
        </is>
      </c>
      <c r="H17" s="14" t="inlineStr">
        <is>
          <t>92.8</t>
        </is>
      </c>
      <c r="I17" s="14" t="inlineStr">
        <is>
          <t>87.3</t>
        </is>
      </c>
      <c r="J17" s="14" t="inlineStr">
        <is>
          <t>0.90</t>
        </is>
      </c>
      <c r="K17" s="14" t="inlineStr">
        <is>
          <t>1.92%</t>
        </is>
      </c>
      <c r="L17" s="16" t="inlineStr">
        <is>
          <t>Ashwin Jain</t>
        </is>
      </c>
    </row>
    <row r="18" ht="30" customHeight="1">
      <c r="A18" s="8" t="n">
        <v>14</v>
      </c>
      <c r="B18" s="11" t="inlineStr">
        <is>
          <t>Axis Large Cap Fund</t>
        </is>
      </c>
      <c r="C18" s="8" t="n">
        <v>23.2</v>
      </c>
      <c r="D18" s="20" t="inlineStr">
        <is>
          <t>Avoid</t>
        </is>
      </c>
      <c r="E18" s="27" t="inlineStr">
        <is>
          <t>-1.03%</t>
        </is>
      </c>
      <c r="F18" s="8" t="inlineStr">
        <is>
          <t>0.21</t>
        </is>
      </c>
      <c r="G18" s="8" t="inlineStr">
        <is>
          <t>0.36</t>
        </is>
      </c>
      <c r="H18" s="8" t="inlineStr">
        <is>
          <t>98.4</t>
        </is>
      </c>
      <c r="I18" s="8" t="inlineStr">
        <is>
          <t>94.4</t>
        </is>
      </c>
      <c r="J18" s="8" t="inlineStr">
        <is>
          <t>0.94</t>
        </is>
      </c>
      <c r="K18" s="8" t="inlineStr">
        <is>
          <t>1.58%</t>
        </is>
      </c>
      <c r="L18" s="11" t="inlineStr">
        <is>
          <t>Shreyash Devalkar</t>
        </is>
      </c>
    </row>
    <row r="19" ht="30" customHeight="1">
      <c r="A19" s="14" t="n">
        <v>15</v>
      </c>
      <c r="B19" s="16" t="inlineStr">
        <is>
          <t>Mirae Asset Large Cap Fund</t>
        </is>
      </c>
      <c r="C19" s="14" t="n">
        <v>20.4</v>
      </c>
      <c r="D19" s="20" t="inlineStr">
        <is>
          <t>Avoid</t>
        </is>
      </c>
      <c r="E19" s="25" t="inlineStr">
        <is>
          <t>-2.03%</t>
        </is>
      </c>
      <c r="F19" s="14" t="inlineStr">
        <is>
          <t>0.21</t>
        </is>
      </c>
      <c r="G19" s="14" t="inlineStr">
        <is>
          <t>0.38</t>
        </is>
      </c>
      <c r="H19" s="14" t="inlineStr">
        <is>
          <t>100.6</t>
        </is>
      </c>
      <c r="I19" s="14" t="inlineStr">
        <is>
          <t>92.7</t>
        </is>
      </c>
      <c r="J19" s="14" t="inlineStr">
        <is>
          <t>0.95</t>
        </is>
      </c>
      <c r="K19" s="14" t="inlineStr">
        <is>
          <t>1.52%</t>
        </is>
      </c>
      <c r="L19" s="16" t="inlineStr">
        <is>
          <t>Gaurav Misra</t>
        </is>
      </c>
    </row>
    <row r="20" ht="30" customHeight="1">
      <c r="A20" s="8" t="n">
        <v>16</v>
      </c>
      <c r="B20" s="11" t="inlineStr">
        <is>
          <t>UTI Large Cap Fund-Reg(IDCW)</t>
        </is>
      </c>
      <c r="C20" s="8" t="n">
        <v>15.8</v>
      </c>
      <c r="D20" s="20" t="inlineStr">
        <is>
          <t>Avoid</t>
        </is>
      </c>
      <c r="E20" s="27" t="inlineStr">
        <is>
          <t>-8.43%</t>
        </is>
      </c>
      <c r="F20" s="8" t="inlineStr">
        <is>
          <t>0.21</t>
        </is>
      </c>
      <c r="G20" s="8" t="inlineStr">
        <is>
          <t>0.36</t>
        </is>
      </c>
      <c r="H20" s="8" t="inlineStr">
        <is>
          <t>94.0</t>
        </is>
      </c>
      <c r="I20" s="8" t="inlineStr">
        <is>
          <t>92.5</t>
        </is>
      </c>
      <c r="J20" s="8" t="inlineStr">
        <is>
          <t>0.94</t>
        </is>
      </c>
      <c r="K20" s="8" t="inlineStr">
        <is>
          <t>1.75%</t>
        </is>
      </c>
      <c r="L20" s="11" t="inlineStr">
        <is>
          <t>Karthikraj Lakshmanan</t>
        </is>
      </c>
    </row>
    <row r="22" ht="30" customHeight="1">
      <c r="A22" s="3" t="inlineStr">
        <is>
          <t>FLEXI CAP — 27 Funds</t>
        </is>
      </c>
      <c r="B22" s="31" t="n"/>
      <c r="C22" s="31" t="n"/>
      <c r="D22" s="31" t="n"/>
      <c r="E22" s="31" t="n"/>
      <c r="F22" s="31" t="n"/>
      <c r="G22" s="31" t="n"/>
      <c r="H22" s="31" t="n"/>
      <c r="I22" s="31" t="n"/>
      <c r="J22" s="31" t="n"/>
      <c r="K22" s="31" t="n"/>
      <c r="L22" s="32" t="n"/>
    </row>
    <row r="23" ht="30" customHeight="1">
      <c r="A23" s="4" t="inlineStr">
        <is>
          <t>Rank</t>
        </is>
      </c>
      <c r="B23" s="4" t="inlineStr">
        <is>
          <t>Fund</t>
        </is>
      </c>
      <c r="C23" s="4" t="inlineStr">
        <is>
          <t>Score</t>
        </is>
      </c>
      <c r="D23" s="4" t="inlineStr">
        <is>
          <t>Rating</t>
        </is>
      </c>
      <c r="E23" s="4" t="inlineStr">
        <is>
          <t>Alpha 3Y</t>
        </is>
      </c>
      <c r="F23" s="4" t="inlineStr">
        <is>
          <t>Sharpe</t>
        </is>
      </c>
      <c r="G23" s="4" t="inlineStr">
        <is>
          <t>Sortino</t>
        </is>
      </c>
      <c r="H23" s="4" t="inlineStr">
        <is>
          <t>Down Cap</t>
        </is>
      </c>
      <c r="I23" s="4" t="inlineStr">
        <is>
          <t>Up Cap</t>
        </is>
      </c>
      <c r="J23" s="4" t="inlineStr">
        <is>
          <t>Beta</t>
        </is>
      </c>
      <c r="K23" s="4" t="inlineStr">
        <is>
          <t>Expense</t>
        </is>
      </c>
      <c r="L23" s="4" t="inlineStr">
        <is>
          <t>Fund Manager</t>
        </is>
      </c>
    </row>
    <row r="24" ht="30" customHeight="1">
      <c r="A24" s="8" t="n">
        <v>1</v>
      </c>
      <c r="B24" s="11" t="inlineStr">
        <is>
          <t>Aditya Birla SL Flexi Cap Fund</t>
        </is>
      </c>
      <c r="C24" s="9" t="n">
        <v>88.09999999999999</v>
      </c>
      <c r="D24" s="9" t="inlineStr">
        <is>
          <t>Strong Buy</t>
        </is>
      </c>
      <c r="E24" s="10" t="inlineStr">
        <is>
          <t>+1.85%</t>
        </is>
      </c>
      <c r="F24" s="8" t="inlineStr">
        <is>
          <t>0.32</t>
        </is>
      </c>
      <c r="G24" s="8" t="inlineStr">
        <is>
          <t>0.61</t>
        </is>
      </c>
      <c r="H24" s="8" t="inlineStr">
        <is>
          <t>88.0</t>
        </is>
      </c>
      <c r="I24" s="8" t="inlineStr">
        <is>
          <t>99.7</t>
        </is>
      </c>
      <c r="J24" s="8" t="inlineStr">
        <is>
          <t>0.94</t>
        </is>
      </c>
      <c r="K24" s="8" t="inlineStr">
        <is>
          <t>1.65%</t>
        </is>
      </c>
      <c r="L24" s="11" t="inlineStr">
        <is>
          <t>Harish krishnan</t>
        </is>
      </c>
    </row>
    <row r="25" ht="30" customHeight="1">
      <c r="A25" s="14" t="n">
        <v>2</v>
      </c>
      <c r="B25" s="16" t="inlineStr">
        <is>
          <t>Franklin India Flexi Cap Fund</t>
        </is>
      </c>
      <c r="C25" s="9" t="n">
        <v>80.3</v>
      </c>
      <c r="D25" s="9" t="inlineStr">
        <is>
          <t>Strong Buy</t>
        </is>
      </c>
      <c r="E25" s="15" t="inlineStr">
        <is>
          <t>+1.09%</t>
        </is>
      </c>
      <c r="F25" s="14" t="inlineStr">
        <is>
          <t>0.31</t>
        </is>
      </c>
      <c r="G25" s="14" t="inlineStr">
        <is>
          <t>0.56</t>
        </is>
      </c>
      <c r="H25" s="14" t="inlineStr">
        <is>
          <t>88.5</t>
        </is>
      </c>
      <c r="I25" s="14" t="inlineStr">
        <is>
          <t>98.0</t>
        </is>
      </c>
      <c r="J25" s="14" t="inlineStr">
        <is>
          <t>0.94</t>
        </is>
      </c>
      <c r="K25" s="14" t="inlineStr">
        <is>
          <t>1.69%</t>
        </is>
      </c>
      <c r="L25" s="16" t="inlineStr">
        <is>
          <t>R. Janakiraman</t>
        </is>
      </c>
    </row>
    <row r="26" ht="30" customHeight="1">
      <c r="A26" s="8" t="n">
        <v>3</v>
      </c>
      <c r="B26" s="11" t="inlineStr">
        <is>
          <t>Edelweiss Flexi Cap Fund</t>
        </is>
      </c>
      <c r="C26" s="8" t="n">
        <v>73</v>
      </c>
      <c r="D26" s="17" t="inlineStr">
        <is>
          <t>Buy</t>
        </is>
      </c>
      <c r="E26" s="10" t="inlineStr">
        <is>
          <t>+1.92%</t>
        </is>
      </c>
      <c r="F26" s="8" t="inlineStr">
        <is>
          <t>0.30</t>
        </is>
      </c>
      <c r="G26" s="8" t="inlineStr">
        <is>
          <t>0.54</t>
        </is>
      </c>
      <c r="H26" s="8" t="inlineStr">
        <is>
          <t>100.5</t>
        </is>
      </c>
      <c r="I26" s="8" t="inlineStr">
        <is>
          <t>105.9</t>
        </is>
      </c>
      <c r="J26" s="8" t="inlineStr">
        <is>
          <t>1.03</t>
        </is>
      </c>
      <c r="K26" s="8" t="inlineStr">
        <is>
          <t>1.88%</t>
        </is>
      </c>
      <c r="L26" s="11" t="inlineStr">
        <is>
          <t>Trideep Bhattacharya</t>
        </is>
      </c>
    </row>
    <row r="27" ht="30" customHeight="1">
      <c r="A27" s="14" t="n">
        <v>4</v>
      </c>
      <c r="B27" s="16" t="inlineStr">
        <is>
          <t>ITI Flexi Cap Fund</t>
        </is>
      </c>
      <c r="C27" s="14" t="n">
        <v>71.2</v>
      </c>
      <c r="D27" s="17" t="inlineStr">
        <is>
          <t>Buy</t>
        </is>
      </c>
      <c r="E27" s="15" t="inlineStr">
        <is>
          <t>+4.29%</t>
        </is>
      </c>
      <c r="F27" s="14" t="inlineStr">
        <is>
          <t>0.31</t>
        </is>
      </c>
      <c r="G27" s="14" t="inlineStr">
        <is>
          <t>0.57</t>
        </is>
      </c>
      <c r="H27" s="14" t="inlineStr">
        <is>
          <t>110.7</t>
        </is>
      </c>
      <c r="I27" s="14" t="inlineStr">
        <is>
          <t>118.7</t>
        </is>
      </c>
      <c r="J27" s="14" t="inlineStr">
        <is>
          <t>1.12</t>
        </is>
      </c>
      <c r="K27" s="14" t="inlineStr">
        <is>
          <t>1.97%</t>
        </is>
      </c>
      <c r="L27" s="16" t="inlineStr">
        <is>
          <t>Dhimant Shah</t>
        </is>
      </c>
    </row>
    <row r="28" ht="30" customHeight="1">
      <c r="A28" s="8" t="n">
        <v>5</v>
      </c>
      <c r="B28" s="11" t="inlineStr">
        <is>
          <t>Tata Flexi Cap Fund</t>
        </is>
      </c>
      <c r="C28" s="8" t="n">
        <v>70.7</v>
      </c>
      <c r="D28" s="17" t="inlineStr">
        <is>
          <t>Buy</t>
        </is>
      </c>
      <c r="E28" s="27" t="inlineStr">
        <is>
          <t>-0.19%</t>
        </is>
      </c>
      <c r="F28" s="8" t="inlineStr">
        <is>
          <t>0.29</t>
        </is>
      </c>
      <c r="G28" s="8" t="inlineStr">
        <is>
          <t>0.56</t>
        </is>
      </c>
      <c r="H28" s="8" t="inlineStr">
        <is>
          <t>78.9</t>
        </is>
      </c>
      <c r="I28" s="8" t="inlineStr">
        <is>
          <t>89.3</t>
        </is>
      </c>
      <c r="J28" s="8" t="inlineStr">
        <is>
          <t>0.87</t>
        </is>
      </c>
      <c r="K28" s="8" t="inlineStr">
        <is>
          <t>1.88%</t>
        </is>
      </c>
      <c r="L28" s="11" t="inlineStr">
        <is>
          <t>Anand Sharma</t>
        </is>
      </c>
    </row>
    <row r="29" ht="30" customHeight="1">
      <c r="A29" s="14" t="n">
        <v>6</v>
      </c>
      <c r="B29" s="16" t="inlineStr">
        <is>
          <t>Motilal Oswal Flexi Cap Fund</t>
        </is>
      </c>
      <c r="C29" s="14" t="n">
        <v>69.40000000000001</v>
      </c>
      <c r="D29" s="17" t="inlineStr">
        <is>
          <t>Buy</t>
        </is>
      </c>
      <c r="E29" s="15" t="inlineStr">
        <is>
          <t>+4.59%</t>
        </is>
      </c>
      <c r="F29" s="14" t="inlineStr">
        <is>
          <t>0.29</t>
        </is>
      </c>
      <c r="G29" s="14" t="inlineStr">
        <is>
          <t>0.54</t>
        </is>
      </c>
      <c r="H29" s="14" t="inlineStr">
        <is>
          <t>109.0</t>
        </is>
      </c>
      <c r="I29" s="14" t="inlineStr">
        <is>
          <t>117.3</t>
        </is>
      </c>
      <c r="J29" s="14" t="inlineStr">
        <is>
          <t>1.09</t>
        </is>
      </c>
      <c r="K29" s="14" t="inlineStr">
        <is>
          <t>1.71%</t>
        </is>
      </c>
      <c r="L29" s="16" t="inlineStr">
        <is>
          <t>Ajay Khandelwal</t>
        </is>
      </c>
    </row>
    <row r="30" ht="30" customHeight="1">
      <c r="A30" s="8" t="n">
        <v>7</v>
      </c>
      <c r="B30" s="11" t="inlineStr">
        <is>
          <t>WOC Flexi Cap Fund</t>
        </is>
      </c>
      <c r="C30" s="8" t="n">
        <v>64.7</v>
      </c>
      <c r="D30" s="18" t="inlineStr">
        <is>
          <t>Hold</t>
        </is>
      </c>
      <c r="E30" s="27" t="inlineStr">
        <is>
          <t>-2.82%</t>
        </is>
      </c>
      <c r="F30" s="8" t="inlineStr">
        <is>
          <t>0.32</t>
        </is>
      </c>
      <c r="G30" s="8" t="inlineStr">
        <is>
          <t>0.59</t>
        </is>
      </c>
      <c r="H30" s="8" t="inlineStr">
        <is>
          <t>97.1</t>
        </is>
      </c>
      <c r="I30" s="8" t="inlineStr">
        <is>
          <t>120.6</t>
        </is>
      </c>
      <c r="J30" s="8" t="inlineStr">
        <is>
          <t>1.02</t>
        </is>
      </c>
      <c r="K30" s="8" t="inlineStr">
        <is>
          <t>1.77%</t>
        </is>
      </c>
      <c r="L30" s="11" t="inlineStr">
        <is>
          <t>Ramesh Mantri</t>
        </is>
      </c>
    </row>
    <row r="31" ht="30" customHeight="1">
      <c r="A31" s="14" t="n">
        <v>8</v>
      </c>
      <c r="B31" s="16" t="inlineStr">
        <is>
          <t>Mirae Asset Flexi Cap Fund</t>
        </is>
      </c>
      <c r="C31" s="14" t="n">
        <v>63.1</v>
      </c>
      <c r="D31" s="18" t="inlineStr">
        <is>
          <t>Hold</t>
        </is>
      </c>
      <c r="E31" s="25" t="inlineStr">
        <is>
          <t>-0.17%</t>
        </is>
      </c>
      <c r="F31" s="14" t="inlineStr">
        <is>
          <t>0.28</t>
        </is>
      </c>
      <c r="G31" s="14" t="inlineStr">
        <is>
          <t>0.53</t>
        </is>
      </c>
      <c r="H31" s="14" t="inlineStr">
        <is>
          <t>93.9</t>
        </is>
      </c>
      <c r="I31" s="14" t="inlineStr">
        <is>
          <t>96.9</t>
        </is>
      </c>
      <c r="J31" s="14" t="inlineStr">
        <is>
          <t>0.95</t>
        </is>
      </c>
      <c r="K31" s="14" t="inlineStr">
        <is>
          <t>1.87%</t>
        </is>
      </c>
      <c r="L31" s="16" t="inlineStr">
        <is>
          <t>Varun Goel</t>
        </is>
      </c>
    </row>
    <row r="32" ht="30" customHeight="1">
      <c r="A32" s="8" t="n">
        <v>9</v>
      </c>
      <c r="B32" s="11" t="inlineStr">
        <is>
          <t>Bank of India Flexi Cap Fund</t>
        </is>
      </c>
      <c r="C32" s="8" t="n">
        <v>62.9</v>
      </c>
      <c r="D32" s="18" t="inlineStr">
        <is>
          <t>Hold</t>
        </is>
      </c>
      <c r="E32" s="10" t="inlineStr">
        <is>
          <t>+0.80%</t>
        </is>
      </c>
      <c r="F32" s="8" t="inlineStr">
        <is>
          <t>0.31</t>
        </is>
      </c>
      <c r="G32" s="8" t="inlineStr">
        <is>
          <t>0.57</t>
        </is>
      </c>
      <c r="H32" s="8" t="inlineStr">
        <is>
          <t>111.1</t>
        </is>
      </c>
      <c r="I32" s="8" t="inlineStr">
        <is>
          <t>138.1</t>
        </is>
      </c>
      <c r="J32" s="8" t="inlineStr">
        <is>
          <t>1.10</t>
        </is>
      </c>
      <c r="K32" s="8" t="inlineStr">
        <is>
          <t>1.92%</t>
        </is>
      </c>
      <c r="L32" s="11" t="inlineStr">
        <is>
          <t>Alok Singh</t>
        </is>
      </c>
    </row>
    <row r="33" ht="30" customHeight="1">
      <c r="A33" s="14" t="n">
        <v>10</v>
      </c>
      <c r="B33" s="16" t="inlineStr">
        <is>
          <t>HSBC Flexi Cap Fund</t>
        </is>
      </c>
      <c r="C33" s="14" t="n">
        <v>55.8</v>
      </c>
      <c r="D33" s="18" t="inlineStr">
        <is>
          <t>Hold</t>
        </is>
      </c>
      <c r="E33" s="15" t="inlineStr">
        <is>
          <t>+1.58%</t>
        </is>
      </c>
      <c r="F33" s="14" t="inlineStr">
        <is>
          <t>0.28</t>
        </is>
      </c>
      <c r="G33" s="14" t="inlineStr">
        <is>
          <t>0.50</t>
        </is>
      </c>
      <c r="H33" s="14" t="inlineStr">
        <is>
          <t>110.8</t>
        </is>
      </c>
      <c r="I33" s="14" t="inlineStr">
        <is>
          <t>110.3</t>
        </is>
      </c>
      <c r="J33" s="14" t="inlineStr">
        <is>
          <t>1.08</t>
        </is>
      </c>
      <c r="K33" s="14" t="inlineStr">
        <is>
          <t>1.93%</t>
        </is>
      </c>
      <c r="L33" s="16" t="inlineStr">
        <is>
          <t>Abhishek Gupta</t>
        </is>
      </c>
    </row>
    <row r="34" ht="30" customHeight="1">
      <c r="A34" s="8" t="n">
        <v>11</v>
      </c>
      <c r="B34" s="11" t="inlineStr">
        <is>
          <t>ICICI Pru Flexicap Fund</t>
        </is>
      </c>
      <c r="C34" s="8" t="n">
        <v>55.7</v>
      </c>
      <c r="D34" s="18" t="inlineStr">
        <is>
          <t>Hold</t>
        </is>
      </c>
      <c r="E34" s="27" t="inlineStr">
        <is>
          <t>-3.50%</t>
        </is>
      </c>
      <c r="F34" s="8" t="inlineStr">
        <is>
          <t>0.31</t>
        </is>
      </c>
      <c r="G34" s="8" t="inlineStr">
        <is>
          <t>0.53</t>
        </is>
      </c>
      <c r="H34" s="8" t="inlineStr">
        <is>
          <t>101.0</t>
        </is>
      </c>
      <c r="I34" s="8" t="inlineStr">
        <is>
          <t>120.6</t>
        </is>
      </c>
      <c r="J34" s="8" t="inlineStr">
        <is>
          <t>1.03</t>
        </is>
      </c>
      <c r="K34" s="8" t="inlineStr">
        <is>
          <t>1.67%</t>
        </is>
      </c>
      <c r="L34" s="11" t="inlineStr">
        <is>
          <t>Rajat Chandak</t>
        </is>
      </c>
    </row>
    <row r="35" ht="30" customHeight="1">
      <c r="A35" s="14" t="n">
        <v>12</v>
      </c>
      <c r="B35" s="16" t="inlineStr">
        <is>
          <t>DSP Flexi Cap Fund-Reg(IDCW)</t>
        </is>
      </c>
      <c r="C35" s="14" t="n">
        <v>55.1</v>
      </c>
      <c r="D35" s="18" t="inlineStr">
        <is>
          <t>Hold</t>
        </is>
      </c>
      <c r="E35" s="15" t="inlineStr">
        <is>
          <t>+0.19%</t>
        </is>
      </c>
      <c r="F35" s="14" t="inlineStr">
        <is>
          <t>0.27</t>
        </is>
      </c>
      <c r="G35" s="14" t="inlineStr">
        <is>
          <t>0.50</t>
        </is>
      </c>
      <c r="H35" s="14" t="inlineStr">
        <is>
          <t>101.3</t>
        </is>
      </c>
      <c r="I35" s="14" t="inlineStr">
        <is>
          <t>100.7</t>
        </is>
      </c>
      <c r="J35" s="14" t="inlineStr">
        <is>
          <t>1.01</t>
        </is>
      </c>
      <c r="K35" s="14" t="inlineStr">
        <is>
          <t>1.72%</t>
        </is>
      </c>
      <c r="L35" s="16" t="inlineStr">
        <is>
          <t>Bhavin Gandhi</t>
        </is>
      </c>
    </row>
    <row r="36" ht="30" customHeight="1">
      <c r="A36" s="8" t="n">
        <v>13</v>
      </c>
      <c r="B36" s="11" t="inlineStr">
        <is>
          <t>Bandhan Flexi Cap Fund</t>
        </is>
      </c>
      <c r="C36" s="8" t="n">
        <v>47.7</v>
      </c>
      <c r="D36" s="19" t="inlineStr">
        <is>
          <t>Underweight</t>
        </is>
      </c>
      <c r="E36" s="27" t="inlineStr">
        <is>
          <t>-5.86%</t>
        </is>
      </c>
      <c r="F36" s="8" t="inlineStr">
        <is>
          <t>0.28</t>
        </is>
      </c>
      <c r="G36" s="8" t="inlineStr">
        <is>
          <t>0.51</t>
        </is>
      </c>
      <c r="H36" s="8" t="inlineStr">
        <is>
          <t>94.0</t>
        </is>
      </c>
      <c r="I36" s="8" t="inlineStr">
        <is>
          <t>107.2</t>
        </is>
      </c>
      <c r="J36" s="8" t="inlineStr">
        <is>
          <t>0.96</t>
        </is>
      </c>
      <c r="K36" s="8" t="inlineStr">
        <is>
          <t>1.86%</t>
        </is>
      </c>
      <c r="L36" s="11" t="inlineStr">
        <is>
          <t>Manish Gunwani</t>
        </is>
      </c>
    </row>
    <row r="37" ht="30" customHeight="1">
      <c r="A37" s="14" t="n">
        <v>14</v>
      </c>
      <c r="B37" s="16" t="inlineStr">
        <is>
          <t>JM Flexicap Fund</t>
        </is>
      </c>
      <c r="C37" s="14" t="n">
        <v>47.4</v>
      </c>
      <c r="D37" s="19" t="inlineStr">
        <is>
          <t>Underweight</t>
        </is>
      </c>
      <c r="E37" s="25" t="inlineStr">
        <is>
          <t>-2.86%</t>
        </is>
      </c>
      <c r="F37" s="14" t="inlineStr">
        <is>
          <t>0.28</t>
        </is>
      </c>
      <c r="G37" s="14" t="inlineStr">
        <is>
          <t>0.53</t>
        </is>
      </c>
      <c r="H37" s="14" t="inlineStr">
        <is>
          <t>107.8</t>
        </is>
      </c>
      <c r="I37" s="14" t="inlineStr">
        <is>
          <t>126.2</t>
        </is>
      </c>
      <c r="J37" s="14" t="inlineStr">
        <is>
          <t>1.08</t>
        </is>
      </c>
      <c r="K37" s="14" t="inlineStr">
        <is>
          <t>1.84%</t>
        </is>
      </c>
      <c r="L37" s="16" t="inlineStr">
        <is>
          <t>Satish Ramanathan</t>
        </is>
      </c>
    </row>
    <row r="38" ht="30" customHeight="1">
      <c r="A38" s="8" t="n">
        <v>15</v>
      </c>
      <c r="B38" s="11" t="inlineStr">
        <is>
          <t>Invesco India Flexi Cap Fund</t>
        </is>
      </c>
      <c r="C38" s="8" t="n">
        <v>44.9</v>
      </c>
      <c r="D38" s="19" t="inlineStr">
        <is>
          <t>Underweight</t>
        </is>
      </c>
      <c r="E38" s="27" t="inlineStr">
        <is>
          <t>-2.75%</t>
        </is>
      </c>
      <c r="F38" s="8" t="inlineStr">
        <is>
          <t>0.28</t>
        </is>
      </c>
      <c r="G38" s="8" t="inlineStr">
        <is>
          <t>0.49</t>
        </is>
      </c>
      <c r="H38" s="8" t="inlineStr">
        <is>
          <t>111.9</t>
        </is>
      </c>
      <c r="I38" s="8" t="inlineStr">
        <is>
          <t>128.3</t>
        </is>
      </c>
      <c r="J38" s="8" t="inlineStr">
        <is>
          <t>1.11</t>
        </is>
      </c>
      <c r="K38" s="8" t="inlineStr">
        <is>
          <t>1.84%</t>
        </is>
      </c>
      <c r="L38" s="11" t="inlineStr">
        <is>
          <t>Taher Badshah</t>
        </is>
      </c>
    </row>
    <row r="39" ht="30" customHeight="1">
      <c r="A39" s="14" t="n">
        <v>16</v>
      </c>
      <c r="B39" s="16" t="inlineStr">
        <is>
          <t>Quant Flexi Cap Fund</t>
        </is>
      </c>
      <c r="C39" s="14" t="n">
        <v>44</v>
      </c>
      <c r="D39" s="19" t="inlineStr">
        <is>
          <t>Underweight</t>
        </is>
      </c>
      <c r="E39" s="15" t="inlineStr">
        <is>
          <t>+1.22%</t>
        </is>
      </c>
      <c r="F39" s="14" t="inlineStr">
        <is>
          <t>0.24</t>
        </is>
      </c>
      <c r="G39" s="14" t="inlineStr">
        <is>
          <t>0.48</t>
        </is>
      </c>
      <c r="H39" s="14" t="inlineStr">
        <is>
          <t>123.1</t>
        </is>
      </c>
      <c r="I39" s="14" t="inlineStr">
        <is>
          <t>111.4</t>
        </is>
      </c>
      <c r="J39" s="14" t="inlineStr">
        <is>
          <t>1.09</t>
        </is>
      </c>
      <c r="K39" s="14" t="inlineStr">
        <is>
          <t>1.83%</t>
        </is>
      </c>
      <c r="L39" s="16" t="inlineStr">
        <is>
          <t>Sandeep Tandon</t>
        </is>
      </c>
    </row>
    <row r="40" ht="30" customHeight="1">
      <c r="A40" s="8" t="n">
        <v>17</v>
      </c>
      <c r="B40" s="11" t="inlineStr">
        <is>
          <t>Mahindra Manulife Flexi Cap Fund</t>
        </is>
      </c>
      <c r="C40" s="8" t="n">
        <v>43.6</v>
      </c>
      <c r="D40" s="19" t="inlineStr">
        <is>
          <t>Underweight</t>
        </is>
      </c>
      <c r="E40" s="27" t="inlineStr">
        <is>
          <t>-1.24%</t>
        </is>
      </c>
      <c r="F40" s="8" t="inlineStr">
        <is>
          <t>0.26</t>
        </is>
      </c>
      <c r="G40" s="8" t="inlineStr">
        <is>
          <t>0.47</t>
        </is>
      </c>
      <c r="H40" s="8" t="inlineStr">
        <is>
          <t>99.1</t>
        </is>
      </c>
      <c r="I40" s="8" t="inlineStr">
        <is>
          <t>95.6</t>
        </is>
      </c>
      <c r="J40" s="8" t="inlineStr">
        <is>
          <t>0.96</t>
        </is>
      </c>
      <c r="K40" s="8" t="inlineStr">
        <is>
          <t>2.07%</t>
        </is>
      </c>
      <c r="L40" s="11" t="inlineStr">
        <is>
          <t>Fatema Pacha</t>
        </is>
      </c>
    </row>
    <row r="41" ht="30" customHeight="1">
      <c r="A41" s="14" t="n">
        <v>18</v>
      </c>
      <c r="B41" s="16" t="inlineStr">
        <is>
          <t>Nippon India Flexi Cap Fund</t>
        </is>
      </c>
      <c r="C41" s="14" t="n">
        <v>41.1</v>
      </c>
      <c r="D41" s="19" t="inlineStr">
        <is>
          <t>Underweight</t>
        </is>
      </c>
      <c r="E41" s="25" t="inlineStr">
        <is>
          <t>-1.08%</t>
        </is>
      </c>
      <c r="F41" s="14" t="inlineStr">
        <is>
          <t>0.25</t>
        </is>
      </c>
      <c r="G41" s="14" t="inlineStr">
        <is>
          <t>0.45</t>
        </is>
      </c>
      <c r="H41" s="14" t="inlineStr">
        <is>
          <t>103.0</t>
        </is>
      </c>
      <c r="I41" s="14" t="inlineStr">
        <is>
          <t>98.1</t>
        </is>
      </c>
      <c r="J41" s="14" t="inlineStr">
        <is>
          <t>1.01</t>
        </is>
      </c>
      <c r="K41" s="14" t="inlineStr">
        <is>
          <t>1.73%</t>
        </is>
      </c>
      <c r="L41" s="16" t="inlineStr">
        <is>
          <t>Meenakshi Dawar</t>
        </is>
      </c>
    </row>
    <row r="42" ht="30" customHeight="1">
      <c r="A42" s="8" t="n">
        <v>19</v>
      </c>
      <c r="B42" s="11" t="inlineStr">
        <is>
          <t>Canara Rob Flexi Cap Fund</t>
        </is>
      </c>
      <c r="C42" s="8" t="n">
        <v>38.7</v>
      </c>
      <c r="D42" s="19" t="inlineStr">
        <is>
          <t>Underweight</t>
        </is>
      </c>
      <c r="E42" s="27" t="inlineStr">
        <is>
          <t>-6.94%</t>
        </is>
      </c>
      <c r="F42" s="8" t="inlineStr">
        <is>
          <t>0.26</t>
        </is>
      </c>
      <c r="G42" s="8" t="inlineStr">
        <is>
          <t>0.47</t>
        </is>
      </c>
      <c r="H42" s="8" t="inlineStr">
        <is>
          <t>90.7</t>
        </is>
      </c>
      <c r="I42" s="8" t="inlineStr">
        <is>
          <t>95.9</t>
        </is>
      </c>
      <c r="J42" s="8" t="inlineStr">
        <is>
          <t>0.94</t>
        </is>
      </c>
      <c r="K42" s="8" t="inlineStr">
        <is>
          <t>1.69%</t>
        </is>
      </c>
      <c r="L42" s="11" t="inlineStr">
        <is>
          <t>Shridatta Bhandwaldar</t>
        </is>
      </c>
    </row>
    <row r="43" ht="30" customHeight="1">
      <c r="A43" s="14" t="n">
        <v>20</v>
      </c>
      <c r="B43" s="16" t="inlineStr">
        <is>
          <t>Sundaram Flexi Cap Fund</t>
        </is>
      </c>
      <c r="C43" s="14" t="n">
        <v>38.1</v>
      </c>
      <c r="D43" s="19" t="inlineStr">
        <is>
          <t>Underweight</t>
        </is>
      </c>
      <c r="E43" s="25" t="inlineStr">
        <is>
          <t>-2.24%</t>
        </is>
      </c>
      <c r="F43" s="14" t="inlineStr">
        <is>
          <t>0.25</t>
        </is>
      </c>
      <c r="G43" s="14" t="inlineStr">
        <is>
          <t>0.44</t>
        </is>
      </c>
      <c r="H43" s="14" t="inlineStr">
        <is>
          <t>89.3</t>
        </is>
      </c>
      <c r="I43" s="14" t="inlineStr">
        <is>
          <t>87.4</t>
        </is>
      </c>
      <c r="J43" s="14" t="inlineStr">
        <is>
          <t>0.90</t>
        </is>
      </c>
      <c r="K43" s="14" t="inlineStr">
        <is>
          <t>2.04%</t>
        </is>
      </c>
      <c r="L43" s="16" t="inlineStr">
        <is>
          <t>S. Bharath</t>
        </is>
      </c>
    </row>
    <row r="44" ht="30" customHeight="1">
      <c r="A44" s="8" t="n">
        <v>21</v>
      </c>
      <c r="B44" s="11" t="inlineStr">
        <is>
          <t>Baroda BNP Paribas Flexi Cap Fund</t>
        </is>
      </c>
      <c r="C44" s="8" t="n">
        <v>34.9</v>
      </c>
      <c r="D44" s="20" t="inlineStr">
        <is>
          <t>Avoid</t>
        </is>
      </c>
      <c r="E44" s="27" t="inlineStr">
        <is>
          <t>-0.46%</t>
        </is>
      </c>
      <c r="F44" s="8" t="inlineStr">
        <is>
          <t>0.25</t>
        </is>
      </c>
      <c r="G44" s="8" t="inlineStr">
        <is>
          <t>0.43</t>
        </is>
      </c>
      <c r="H44" s="8" t="inlineStr">
        <is>
          <t>108.9</t>
        </is>
      </c>
      <c r="I44" s="8" t="inlineStr">
        <is>
          <t>100.9</t>
        </is>
      </c>
      <c r="J44" s="8" t="inlineStr">
        <is>
          <t>1.01</t>
        </is>
      </c>
      <c r="K44" s="8" t="inlineStr">
        <is>
          <t>2.18%</t>
        </is>
      </c>
      <c r="L44" s="11" t="inlineStr">
        <is>
          <t>Sanjay Chawla</t>
        </is>
      </c>
    </row>
    <row r="45" ht="30" customHeight="1">
      <c r="A45" s="14" t="n">
        <v>22</v>
      </c>
      <c r="B45" s="16" t="inlineStr">
        <is>
          <t>Axis Flexi Cap Fund</t>
        </is>
      </c>
      <c r="C45" s="14" t="n">
        <v>34.5</v>
      </c>
      <c r="D45" s="20" t="inlineStr">
        <is>
          <t>Avoid</t>
        </is>
      </c>
      <c r="E45" s="25" t="inlineStr">
        <is>
          <t>-1.35%</t>
        </is>
      </c>
      <c r="F45" s="14" t="inlineStr">
        <is>
          <t>0.24</t>
        </is>
      </c>
      <c r="G45" s="14" t="inlineStr">
        <is>
          <t>0.44</t>
        </is>
      </c>
      <c r="H45" s="14" t="inlineStr">
        <is>
          <t>101.5</t>
        </is>
      </c>
      <c r="I45" s="14" t="inlineStr">
        <is>
          <t>95.6</t>
        </is>
      </c>
      <c r="J45" s="14" t="inlineStr">
        <is>
          <t>0.98</t>
        </is>
      </c>
      <c r="K45" s="14" t="inlineStr">
        <is>
          <t>1.72%</t>
        </is>
      </c>
      <c r="L45" s="16" t="inlineStr">
        <is>
          <t>Sachin Relekar</t>
        </is>
      </c>
    </row>
    <row r="46" ht="30" customHeight="1">
      <c r="A46" s="8" t="n">
        <v>23</v>
      </c>
      <c r="B46" s="11" t="inlineStr">
        <is>
          <t>SBI Flexicap Fund</t>
        </is>
      </c>
      <c r="C46" s="8" t="n">
        <v>32.9</v>
      </c>
      <c r="D46" s="20" t="inlineStr">
        <is>
          <t>Avoid</t>
        </is>
      </c>
      <c r="E46" s="27" t="inlineStr">
        <is>
          <t>-9.21%</t>
        </is>
      </c>
      <c r="F46" s="8" t="inlineStr">
        <is>
          <t>0.23</t>
        </is>
      </c>
      <c r="G46" s="8" t="inlineStr">
        <is>
          <t>0.39</t>
        </is>
      </c>
      <c r="H46" s="8" t="inlineStr">
        <is>
          <t>87.0</t>
        </is>
      </c>
      <c r="I46" s="8" t="inlineStr">
        <is>
          <t>87.0</t>
        </is>
      </c>
      <c r="J46" s="8" t="inlineStr">
        <is>
          <t>0.87</t>
        </is>
      </c>
      <c r="K46" s="8" t="inlineStr">
        <is>
          <t>1.66%</t>
        </is>
      </c>
      <c r="L46" s="11" t="inlineStr">
        <is>
          <t>Dinesh Balachandran</t>
        </is>
      </c>
    </row>
    <row r="47" ht="30" customHeight="1">
      <c r="A47" s="14" t="n">
        <v>24</v>
      </c>
      <c r="B47" s="16" t="inlineStr">
        <is>
          <t>Union Flexi Cap Fund</t>
        </is>
      </c>
      <c r="C47" s="14" t="n">
        <v>31.4</v>
      </c>
      <c r="D47" s="20" t="inlineStr">
        <is>
          <t>Avoid</t>
        </is>
      </c>
      <c r="E47" s="25" t="inlineStr">
        <is>
          <t>-6.69%</t>
        </is>
      </c>
      <c r="F47" s="14" t="inlineStr">
        <is>
          <t>0.25</t>
        </is>
      </c>
      <c r="G47" s="14" t="inlineStr">
        <is>
          <t>0.43</t>
        </is>
      </c>
      <c r="H47" s="14" t="inlineStr">
        <is>
          <t>97.1</t>
        </is>
      </c>
      <c r="I47" s="14" t="inlineStr">
        <is>
          <t>99.2</t>
        </is>
      </c>
      <c r="J47" s="14" t="inlineStr">
        <is>
          <t>0.97</t>
        </is>
      </c>
      <c r="K47" s="14" t="inlineStr">
        <is>
          <t>2.02%</t>
        </is>
      </c>
      <c r="L47" s="16" t="inlineStr">
        <is>
          <t>Sanjay Bembalkar</t>
        </is>
      </c>
    </row>
    <row r="48" ht="30" customHeight="1">
      <c r="A48" s="8" t="n">
        <v>25</v>
      </c>
      <c r="B48" s="11" t="inlineStr">
        <is>
          <t>PGIM India Flexi Cap Fund</t>
        </is>
      </c>
      <c r="C48" s="8" t="n">
        <v>25.7</v>
      </c>
      <c r="D48" s="20" t="inlineStr">
        <is>
          <t>Avoid</t>
        </is>
      </c>
      <c r="E48" s="27" t="inlineStr">
        <is>
          <t>-4.07%</t>
        </is>
      </c>
      <c r="F48" s="8" t="inlineStr">
        <is>
          <t>0.20</t>
        </is>
      </c>
      <c r="G48" s="8" t="inlineStr">
        <is>
          <t>0.36</t>
        </is>
      </c>
      <c r="H48" s="8" t="inlineStr">
        <is>
          <t>100.6</t>
        </is>
      </c>
      <c r="I48" s="8" t="inlineStr">
        <is>
          <t>86.4</t>
        </is>
      </c>
      <c r="J48" s="8" t="inlineStr">
        <is>
          <t>0.93</t>
        </is>
      </c>
      <c r="K48" s="8" t="inlineStr">
        <is>
          <t>1.79%</t>
        </is>
      </c>
      <c r="L48" s="11" t="inlineStr">
        <is>
          <t>Anandha Padmanabhan Anjeneyan</t>
        </is>
      </c>
    </row>
    <row r="49" ht="30" customHeight="1">
      <c r="A49" s="14" t="n">
        <v>26</v>
      </c>
      <c r="B49" s="16" t="inlineStr">
        <is>
          <t>LIC MF Flexi Cap Fund</t>
        </is>
      </c>
      <c r="C49" s="14" t="n">
        <v>18.4</v>
      </c>
      <c r="D49" s="20" t="inlineStr">
        <is>
          <t>Avoid</t>
        </is>
      </c>
      <c r="E49" s="25" t="inlineStr">
        <is>
          <t>-2.23%</t>
        </is>
      </c>
      <c r="F49" s="14" t="inlineStr">
        <is>
          <t>0.21</t>
        </is>
      </c>
      <c r="G49" s="14" t="inlineStr">
        <is>
          <t>0.36</t>
        </is>
      </c>
      <c r="H49" s="14" t="inlineStr">
        <is>
          <t>119.0</t>
        </is>
      </c>
      <c r="I49" s="14" t="inlineStr">
        <is>
          <t>101.3</t>
        </is>
      </c>
      <c r="J49" s="14" t="inlineStr">
        <is>
          <t>1.05</t>
        </is>
      </c>
      <c r="K49" s="14" t="inlineStr">
        <is>
          <t>2.32%</t>
        </is>
      </c>
      <c r="L49" s="16" t="inlineStr">
        <is>
          <t>Karan Doshi</t>
        </is>
      </c>
    </row>
    <row r="50" ht="30" customHeight="1">
      <c r="A50" s="8" t="n">
        <v>27</v>
      </c>
      <c r="B50" s="11" t="inlineStr">
        <is>
          <t>UTI Flexi Cap Fund-Reg(IDCW)</t>
        </is>
      </c>
      <c r="C50" s="8" t="n">
        <v>16.5</v>
      </c>
      <c r="D50" s="20" t="inlineStr">
        <is>
          <t>Avoid</t>
        </is>
      </c>
      <c r="E50" s="27" t="inlineStr">
        <is>
          <t>-6.57%</t>
        </is>
      </c>
      <c r="F50" s="8" t="inlineStr">
        <is>
          <t>0.14</t>
        </is>
      </c>
      <c r="G50" s="8" t="inlineStr">
        <is>
          <t>0.25</t>
        </is>
      </c>
      <c r="H50" s="8" t="inlineStr">
        <is>
          <t>101.4</t>
        </is>
      </c>
      <c r="I50" s="8" t="inlineStr">
        <is>
          <t>77.0</t>
        </is>
      </c>
      <c r="J50" s="8" t="inlineStr">
        <is>
          <t>0.91</t>
        </is>
      </c>
      <c r="K50" s="8" t="inlineStr">
        <is>
          <t>1.68%</t>
        </is>
      </c>
      <c r="L50" s="11" t="inlineStr">
        <is>
          <t>Ajay Tyagi</t>
        </is>
      </c>
    </row>
    <row r="52" ht="30" customHeight="1">
      <c r="A52" s="3" t="inlineStr">
        <is>
          <t>MID CAP — 22 Funds</t>
        </is>
      </c>
      <c r="B52" s="31" t="n"/>
      <c r="C52" s="31" t="n"/>
      <c r="D52" s="31" t="n"/>
      <c r="E52" s="31" t="n"/>
      <c r="F52" s="31" t="n"/>
      <c r="G52" s="31" t="n"/>
      <c r="H52" s="31" t="n"/>
      <c r="I52" s="31" t="n"/>
      <c r="J52" s="31" t="n"/>
      <c r="K52" s="31" t="n"/>
      <c r="L52" s="32" t="n"/>
    </row>
    <row r="53" ht="30" customHeight="1">
      <c r="A53" s="4" t="inlineStr">
        <is>
          <t>Rank</t>
        </is>
      </c>
      <c r="B53" s="4" t="inlineStr">
        <is>
          <t>Fund</t>
        </is>
      </c>
      <c r="C53" s="4" t="inlineStr">
        <is>
          <t>Score</t>
        </is>
      </c>
      <c r="D53" s="4" t="inlineStr">
        <is>
          <t>Rating</t>
        </is>
      </c>
      <c r="E53" s="4" t="inlineStr">
        <is>
          <t>Alpha 3Y</t>
        </is>
      </c>
      <c r="F53" s="4" t="inlineStr">
        <is>
          <t>Sharpe</t>
        </is>
      </c>
      <c r="G53" s="4" t="inlineStr">
        <is>
          <t>Sortino</t>
        </is>
      </c>
      <c r="H53" s="4" t="inlineStr">
        <is>
          <t>Down Cap</t>
        </is>
      </c>
      <c r="I53" s="4" t="inlineStr">
        <is>
          <t>Up Cap</t>
        </is>
      </c>
      <c r="J53" s="4" t="inlineStr">
        <is>
          <t>Beta</t>
        </is>
      </c>
      <c r="K53" s="4" t="inlineStr">
        <is>
          <t>Expense</t>
        </is>
      </c>
      <c r="L53" s="4" t="inlineStr">
        <is>
          <t>Fund Manager</t>
        </is>
      </c>
    </row>
    <row r="54" ht="30" customHeight="1">
      <c r="A54" s="8" t="n">
        <v>1</v>
      </c>
      <c r="B54" s="11" t="inlineStr">
        <is>
          <t>ICICI Pru Midcap Fund</t>
        </is>
      </c>
      <c r="C54" s="9" t="n">
        <v>88.90000000000001</v>
      </c>
      <c r="D54" s="9" t="inlineStr">
        <is>
          <t>Strong Buy</t>
        </is>
      </c>
      <c r="E54" s="10" t="inlineStr">
        <is>
          <t>+1.62%</t>
        </is>
      </c>
      <c r="F54" s="8" t="inlineStr">
        <is>
          <t>0.37</t>
        </is>
      </c>
      <c r="G54" s="8" t="inlineStr">
        <is>
          <t>0.74</t>
        </is>
      </c>
      <c r="H54" s="8" t="inlineStr">
        <is>
          <t>90.1</t>
        </is>
      </c>
      <c r="I54" s="8" t="inlineStr">
        <is>
          <t>100.8</t>
        </is>
      </c>
      <c r="J54" s="8" t="inlineStr">
        <is>
          <t>0.97</t>
        </is>
      </c>
      <c r="K54" s="8" t="inlineStr">
        <is>
          <t>1.85%</t>
        </is>
      </c>
      <c r="L54" s="11" t="inlineStr">
        <is>
          <t>Lalit Kumar</t>
        </is>
      </c>
    </row>
    <row r="55" ht="30" customHeight="1">
      <c r="A55" s="14" t="n">
        <v>2</v>
      </c>
      <c r="B55" s="16" t="inlineStr">
        <is>
          <t>Edelweiss Mid Cap Fund</t>
        </is>
      </c>
      <c r="C55" s="9" t="n">
        <v>83.09999999999999</v>
      </c>
      <c r="D55" s="9" t="inlineStr">
        <is>
          <t>Strong Buy</t>
        </is>
      </c>
      <c r="E55" s="15" t="inlineStr">
        <is>
          <t>+1.57%</t>
        </is>
      </c>
      <c r="F55" s="14" t="inlineStr">
        <is>
          <t>0.37</t>
        </is>
      </c>
      <c r="G55" s="14" t="inlineStr">
        <is>
          <t>0.70</t>
        </is>
      </c>
      <c r="H55" s="14" t="inlineStr">
        <is>
          <t>93.1</t>
        </is>
      </c>
      <c r="I55" s="14" t="inlineStr">
        <is>
          <t>101.1</t>
        </is>
      </c>
      <c r="J55" s="14" t="inlineStr">
        <is>
          <t>0.98</t>
        </is>
      </c>
      <c r="K55" s="14" t="inlineStr">
        <is>
          <t>1.67%</t>
        </is>
      </c>
      <c r="L55" s="16" t="inlineStr">
        <is>
          <t>Trideep Bhattacharya</t>
        </is>
      </c>
    </row>
    <row r="56" ht="30" customHeight="1">
      <c r="A56" s="8" t="n">
        <v>3</v>
      </c>
      <c r="B56" s="11" t="inlineStr">
        <is>
          <t>Sundaram Mid Cap Fund</t>
        </is>
      </c>
      <c r="C56" s="9" t="n">
        <v>83.09999999999999</v>
      </c>
      <c r="D56" s="9" t="inlineStr">
        <is>
          <t>Strong Buy</t>
        </is>
      </c>
      <c r="E56" s="10" t="inlineStr">
        <is>
          <t>+0.62%</t>
        </is>
      </c>
      <c r="F56" s="8" t="inlineStr">
        <is>
          <t>0.38</t>
        </is>
      </c>
      <c r="G56" s="8" t="inlineStr">
        <is>
          <t>0.68</t>
        </is>
      </c>
      <c r="H56" s="8" t="inlineStr">
        <is>
          <t>89.1</t>
        </is>
      </c>
      <c r="I56" s="8" t="inlineStr">
        <is>
          <t>97.4</t>
        </is>
      </c>
      <c r="J56" s="8" t="inlineStr">
        <is>
          <t>0.93</t>
        </is>
      </c>
      <c r="K56" s="8" t="inlineStr">
        <is>
          <t>1.73%</t>
        </is>
      </c>
      <c r="L56" s="11" t="inlineStr">
        <is>
          <t>S. Bharath</t>
        </is>
      </c>
    </row>
    <row r="57" ht="30" customHeight="1">
      <c r="A57" s="14" t="n">
        <v>4</v>
      </c>
      <c r="B57" s="16" t="inlineStr">
        <is>
          <t>Mahindra Manulife Mid Cap Fund</t>
        </is>
      </c>
      <c r="C57" s="9" t="n">
        <v>76.7</v>
      </c>
      <c r="D57" s="17" t="inlineStr">
        <is>
          <t>Buy</t>
        </is>
      </c>
      <c r="E57" s="15" t="inlineStr">
        <is>
          <t>+0.88%</t>
        </is>
      </c>
      <c r="F57" s="14" t="inlineStr">
        <is>
          <t>0.37</t>
        </is>
      </c>
      <c r="G57" s="14" t="inlineStr">
        <is>
          <t>0.70</t>
        </is>
      </c>
      <c r="H57" s="14" t="inlineStr">
        <is>
          <t>92.5</t>
        </is>
      </c>
      <c r="I57" s="14" t="inlineStr">
        <is>
          <t>98.5</t>
        </is>
      </c>
      <c r="J57" s="14" t="inlineStr">
        <is>
          <t>0.94</t>
        </is>
      </c>
      <c r="K57" s="14" t="inlineStr">
        <is>
          <t>1.87%</t>
        </is>
      </c>
      <c r="L57" s="16" t="inlineStr">
        <is>
          <t>Kirti Dalvi</t>
        </is>
      </c>
    </row>
    <row r="58" ht="30" customHeight="1">
      <c r="A58" s="8" t="n">
        <v>5</v>
      </c>
      <c r="B58" s="11" t="inlineStr">
        <is>
          <t>Tata Mid Cap Fund</t>
        </is>
      </c>
      <c r="C58" s="8" t="n">
        <v>68.2</v>
      </c>
      <c r="D58" s="17" t="inlineStr">
        <is>
          <t>Buy</t>
        </is>
      </c>
      <c r="E58" s="27" t="inlineStr">
        <is>
          <t>-2.15%</t>
        </is>
      </c>
      <c r="F58" s="8" t="inlineStr">
        <is>
          <t>0.34</t>
        </is>
      </c>
      <c r="G58" s="8" t="inlineStr">
        <is>
          <t>0.65</t>
        </is>
      </c>
      <c r="H58" s="8" t="inlineStr">
        <is>
          <t>87.2</t>
        </is>
      </c>
      <c r="I58" s="8" t="inlineStr">
        <is>
          <t>90.0</t>
        </is>
      </c>
      <c r="J58" s="8" t="inlineStr">
        <is>
          <t>0.89</t>
        </is>
      </c>
      <c r="K58" s="8" t="inlineStr">
        <is>
          <t>1.83%</t>
        </is>
      </c>
      <c r="L58" s="11" t="inlineStr">
        <is>
          <t>Satish Chandra Mishra</t>
        </is>
      </c>
    </row>
    <row r="59" ht="30" customHeight="1">
      <c r="A59" s="14" t="n">
        <v>6</v>
      </c>
      <c r="B59" s="16" t="inlineStr">
        <is>
          <t>WOC Mid Cap Fund</t>
        </is>
      </c>
      <c r="C59" s="14" t="n">
        <v>67.59999999999999</v>
      </c>
      <c r="D59" s="17" t="inlineStr">
        <is>
          <t>Buy</t>
        </is>
      </c>
      <c r="E59" s="25" t="inlineStr">
        <is>
          <t>-3.29%</t>
        </is>
      </c>
      <c r="F59" s="14" t="inlineStr">
        <is>
          <t>0.39</t>
        </is>
      </c>
      <c r="G59" s="14" t="inlineStr">
        <is>
          <t>0.74</t>
        </is>
      </c>
      <c r="H59" s="14" t="inlineStr">
        <is>
          <t>93.0</t>
        </is>
      </c>
      <c r="I59" s="14" t="inlineStr">
        <is>
          <t>145.9</t>
        </is>
      </c>
      <c r="J59" s="14" t="inlineStr">
        <is>
          <t>1.08</t>
        </is>
      </c>
      <c r="K59" s="14" t="inlineStr">
        <is>
          <t>1.85%</t>
        </is>
      </c>
      <c r="L59" s="16" t="inlineStr">
        <is>
          <t>Ramesh Mantri</t>
        </is>
      </c>
    </row>
    <row r="60" ht="30" customHeight="1">
      <c r="A60" s="8" t="n">
        <v>7</v>
      </c>
      <c r="B60" s="11" t="inlineStr">
        <is>
          <t>Baroda BNP Paribas Mid Cap Fund</t>
        </is>
      </c>
      <c r="C60" s="8" t="n">
        <v>65</v>
      </c>
      <c r="D60" s="17" t="inlineStr">
        <is>
          <t>Buy</t>
        </is>
      </c>
      <c r="E60" s="27" t="inlineStr">
        <is>
          <t>-2.27%</t>
        </is>
      </c>
      <c r="F60" s="8" t="inlineStr">
        <is>
          <t>0.35</t>
        </is>
      </c>
      <c r="G60" s="8" t="inlineStr">
        <is>
          <t>0.64</t>
        </is>
      </c>
      <c r="H60" s="8" t="inlineStr">
        <is>
          <t>83.3</t>
        </is>
      </c>
      <c r="I60" s="8" t="inlineStr">
        <is>
          <t>87.0</t>
        </is>
      </c>
      <c r="J60" s="8" t="inlineStr">
        <is>
          <t>0.83</t>
        </is>
      </c>
      <c r="K60" s="8" t="inlineStr">
        <is>
          <t>1.97%</t>
        </is>
      </c>
      <c r="L60" s="11" t="inlineStr">
        <is>
          <t>Pratish Krishnan</t>
        </is>
      </c>
    </row>
    <row r="61" ht="30" customHeight="1">
      <c r="A61" s="14" t="n">
        <v>8</v>
      </c>
      <c r="B61" s="16" t="inlineStr">
        <is>
          <t>HSBC Midcap Fund</t>
        </is>
      </c>
      <c r="C61" s="14" t="n">
        <v>56.1</v>
      </c>
      <c r="D61" s="18" t="inlineStr">
        <is>
          <t>Hold</t>
        </is>
      </c>
      <c r="E61" s="15" t="inlineStr">
        <is>
          <t>+1.08%</t>
        </is>
      </c>
      <c r="F61" s="14" t="inlineStr">
        <is>
          <t>0.33</t>
        </is>
      </c>
      <c r="G61" s="14" t="inlineStr">
        <is>
          <t>0.55</t>
        </is>
      </c>
      <c r="H61" s="14" t="inlineStr">
        <is>
          <t>103.6</t>
        </is>
      </c>
      <c r="I61" s="14" t="inlineStr">
        <is>
          <t>103.6</t>
        </is>
      </c>
      <c r="J61" s="14" t="inlineStr">
        <is>
          <t>1.03</t>
        </is>
      </c>
      <c r="K61" s="14" t="inlineStr">
        <is>
          <t>1.72%</t>
        </is>
      </c>
      <c r="L61" s="16" t="inlineStr">
        <is>
          <t>Cheenu Gupta</t>
        </is>
      </c>
    </row>
    <row r="62" ht="30" customHeight="1">
      <c r="A62" s="8" t="n">
        <v>9</v>
      </c>
      <c r="B62" s="11" t="inlineStr">
        <is>
          <t>ITI Mid Cap Fund</t>
        </is>
      </c>
      <c r="C62" s="8" t="n">
        <v>53.9</v>
      </c>
      <c r="D62" s="18" t="inlineStr">
        <is>
          <t>Hold</t>
        </is>
      </c>
      <c r="E62" s="27" t="inlineStr">
        <is>
          <t>-0.00%</t>
        </is>
      </c>
      <c r="F62" s="8" t="inlineStr">
        <is>
          <t>0.34</t>
        </is>
      </c>
      <c r="G62" s="8" t="inlineStr">
        <is>
          <t>0.63</t>
        </is>
      </c>
      <c r="H62" s="8" t="inlineStr">
        <is>
          <t>99.1</t>
        </is>
      </c>
      <c r="I62" s="8" t="inlineStr">
        <is>
          <t>99.7</t>
        </is>
      </c>
      <c r="J62" s="8" t="inlineStr">
        <is>
          <t>0.99</t>
        </is>
      </c>
      <c r="K62" s="8" t="inlineStr">
        <is>
          <t>1.99%</t>
        </is>
      </c>
      <c r="L62" s="11" t="inlineStr">
        <is>
          <t>Rohan Korde</t>
        </is>
      </c>
    </row>
    <row r="63" ht="30" customHeight="1">
      <c r="A63" s="14" t="n">
        <v>10</v>
      </c>
      <c r="B63" s="16" t="inlineStr">
        <is>
          <t>Invesco India Midcap Fund</t>
        </is>
      </c>
      <c r="C63" s="14" t="n">
        <v>52.8</v>
      </c>
      <c r="D63" s="18" t="inlineStr">
        <is>
          <t>Hold</t>
        </is>
      </c>
      <c r="E63" s="25" t="inlineStr">
        <is>
          <t>-3.33%</t>
        </is>
      </c>
      <c r="F63" s="14" t="inlineStr">
        <is>
          <t>0.36</t>
        </is>
      </c>
      <c r="G63" s="14" t="inlineStr">
        <is>
          <t>0.66</t>
        </is>
      </c>
      <c r="H63" s="14" t="inlineStr">
        <is>
          <t>109.7</t>
        </is>
      </c>
      <c r="I63" s="14" t="inlineStr">
        <is>
          <t>154.7</t>
        </is>
      </c>
      <c r="J63" s="14" t="inlineStr">
        <is>
          <t>1.17</t>
        </is>
      </c>
      <c r="K63" s="14" t="inlineStr">
        <is>
          <t>1.71%</t>
        </is>
      </c>
      <c r="L63" s="16" t="inlineStr">
        <is>
          <t>Aditya Khemani</t>
        </is>
      </c>
    </row>
    <row r="64" ht="30" customHeight="1">
      <c r="A64" s="8" t="n">
        <v>11</v>
      </c>
      <c r="B64" s="11" t="inlineStr">
        <is>
          <t>Franklin India Mid Cap Fund</t>
        </is>
      </c>
      <c r="C64" s="8" t="n">
        <v>52.2</v>
      </c>
      <c r="D64" s="18" t="inlineStr">
        <is>
          <t>Hold</t>
        </is>
      </c>
      <c r="E64" s="27" t="inlineStr">
        <is>
          <t>-2.86%</t>
        </is>
      </c>
      <c r="F64" s="8" t="inlineStr">
        <is>
          <t>0.32</t>
        </is>
      </c>
      <c r="G64" s="8" t="inlineStr">
        <is>
          <t>0.60</t>
        </is>
      </c>
      <c r="H64" s="8" t="inlineStr">
        <is>
          <t>93.1</t>
        </is>
      </c>
      <c r="I64" s="8" t="inlineStr">
        <is>
          <t>92.4</t>
        </is>
      </c>
      <c r="J64" s="8" t="inlineStr">
        <is>
          <t>0.93</t>
        </is>
      </c>
      <c r="K64" s="8" t="inlineStr">
        <is>
          <t>1.77%</t>
        </is>
      </c>
      <c r="L64" s="11" t="inlineStr">
        <is>
          <t>R. Janakiraman</t>
        </is>
      </c>
    </row>
    <row r="65" ht="30" customHeight="1">
      <c r="A65" s="14" t="n">
        <v>12</v>
      </c>
      <c r="B65" s="16" t="inlineStr">
        <is>
          <t>JM Midcap Fund</t>
        </is>
      </c>
      <c r="C65" s="14" t="n">
        <v>49.8</v>
      </c>
      <c r="D65" s="19" t="inlineStr">
        <is>
          <t>Underweight</t>
        </is>
      </c>
      <c r="E65" s="25" t="inlineStr">
        <is>
          <t>-1.03%</t>
        </is>
      </c>
      <c r="F65" s="14" t="inlineStr">
        <is>
          <t>0.32</t>
        </is>
      </c>
      <c r="G65" s="14" t="inlineStr">
        <is>
          <t>0.62</t>
        </is>
      </c>
      <c r="H65" s="14" t="inlineStr">
        <is>
          <t>100.3</t>
        </is>
      </c>
      <c r="I65" s="14" t="inlineStr">
        <is>
          <t>96.9</t>
        </is>
      </c>
      <c r="J65" s="14" t="inlineStr">
        <is>
          <t>0.98</t>
        </is>
      </c>
      <c r="K65" s="14" t="inlineStr">
        <is>
          <t>2.16%</t>
        </is>
      </c>
      <c r="L65" s="16" t="inlineStr">
        <is>
          <t>Satish Ramanathan</t>
        </is>
      </c>
    </row>
    <row r="66" ht="30" customHeight="1">
      <c r="A66" s="8" t="n">
        <v>13</v>
      </c>
      <c r="B66" s="11" t="inlineStr">
        <is>
          <t>Mirae Asset Midcap Fund</t>
        </is>
      </c>
      <c r="C66" s="8" t="n">
        <v>40.6</v>
      </c>
      <c r="D66" s="19" t="inlineStr">
        <is>
          <t>Underweight</t>
        </is>
      </c>
      <c r="E66" s="27" t="inlineStr">
        <is>
          <t>-3.03%</t>
        </is>
      </c>
      <c r="F66" s="8" t="inlineStr">
        <is>
          <t>0.31</t>
        </is>
      </c>
      <c r="G66" s="8" t="inlineStr">
        <is>
          <t>0.56</t>
        </is>
      </c>
      <c r="H66" s="8" t="inlineStr">
        <is>
          <t>102.2</t>
        </is>
      </c>
      <c r="I66" s="8" t="inlineStr">
        <is>
          <t>93.9</t>
        </is>
      </c>
      <c r="J66" s="8" t="inlineStr">
        <is>
          <t>0.97</t>
        </is>
      </c>
      <c r="K66" s="8" t="inlineStr">
        <is>
          <t>1.65%</t>
        </is>
      </c>
      <c r="L66" s="11" t="inlineStr">
        <is>
          <t>Ankit Jain</t>
        </is>
      </c>
    </row>
    <row r="67" ht="30" customHeight="1">
      <c r="A67" s="14" t="n">
        <v>14</v>
      </c>
      <c r="B67" s="16" t="inlineStr">
        <is>
          <t>DSP Midcap Fund</t>
        </is>
      </c>
      <c r="C67" s="14" t="n">
        <v>40.2</v>
      </c>
      <c r="D67" s="19" t="inlineStr">
        <is>
          <t>Underweight</t>
        </is>
      </c>
      <c r="E67" s="25" t="inlineStr">
        <is>
          <t>-3.28%</t>
        </is>
      </c>
      <c r="F67" s="14" t="inlineStr">
        <is>
          <t>0.30</t>
        </is>
      </c>
      <c r="G67" s="14" t="inlineStr">
        <is>
          <t>0.57</t>
        </is>
      </c>
      <c r="H67" s="14" t="inlineStr">
        <is>
          <t>96.0</t>
        </is>
      </c>
      <c r="I67" s="14" t="inlineStr">
        <is>
          <t>91.0</t>
        </is>
      </c>
      <c r="J67" s="14" t="inlineStr">
        <is>
          <t>0.96</t>
        </is>
      </c>
      <c r="K67" s="14" t="inlineStr">
        <is>
          <t>1.67%</t>
        </is>
      </c>
      <c r="L67" s="16" t="inlineStr">
        <is>
          <t>Vinit Sambre</t>
        </is>
      </c>
    </row>
    <row r="68" ht="30" customHeight="1">
      <c r="A68" s="8" t="n">
        <v>15</v>
      </c>
      <c r="B68" s="11" t="inlineStr">
        <is>
          <t>Canara Rob Mid Cap Fund</t>
        </is>
      </c>
      <c r="C68" s="8" t="n">
        <v>37</v>
      </c>
      <c r="D68" s="19" t="inlineStr">
        <is>
          <t>Underweight</t>
        </is>
      </c>
      <c r="E68" s="27" t="inlineStr">
        <is>
          <t>-9.36%</t>
        </is>
      </c>
      <c r="F68" s="8" t="inlineStr">
        <is>
          <t>0.30</t>
        </is>
      </c>
      <c r="G68" s="8" t="inlineStr">
        <is>
          <t>0.57</t>
        </is>
      </c>
      <c r="H68" s="8" t="inlineStr">
        <is>
          <t>90.3</t>
        </is>
      </c>
      <c r="I68" s="8" t="inlineStr">
        <is>
          <t>92.2</t>
        </is>
      </c>
      <c r="J68" s="8" t="inlineStr">
        <is>
          <t>0.94</t>
        </is>
      </c>
      <c r="K68" s="8" t="inlineStr">
        <is>
          <t>1.88%</t>
        </is>
      </c>
      <c r="L68" s="11" t="inlineStr">
        <is>
          <t>Pranav Gokhale</t>
        </is>
      </c>
    </row>
    <row r="69" ht="30" customHeight="1">
      <c r="A69" s="14" t="n">
        <v>16</v>
      </c>
      <c r="B69" s="16" t="inlineStr">
        <is>
          <t>SBI Midcap Fund</t>
        </is>
      </c>
      <c r="C69" s="14" t="n">
        <v>36.1</v>
      </c>
      <c r="D69" s="19" t="inlineStr">
        <is>
          <t>Underweight</t>
        </is>
      </c>
      <c r="E69" s="25" t="inlineStr">
        <is>
          <t>-7.31%</t>
        </is>
      </c>
      <c r="F69" s="14" t="inlineStr">
        <is>
          <t>0.27</t>
        </is>
      </c>
      <c r="G69" s="14" t="inlineStr">
        <is>
          <t>0.51</t>
        </is>
      </c>
      <c r="H69" s="14" t="inlineStr">
        <is>
          <t>86.6</t>
        </is>
      </c>
      <c r="I69" s="14" t="inlineStr">
        <is>
          <t>76.6</t>
        </is>
      </c>
      <c r="J69" s="14" t="inlineStr">
        <is>
          <t>0.80</t>
        </is>
      </c>
      <c r="K69" s="14" t="inlineStr">
        <is>
          <t>1.66%</t>
        </is>
      </c>
      <c r="L69" s="16" t="inlineStr">
        <is>
          <t>Bhavin Vithlani</t>
        </is>
      </c>
    </row>
    <row r="70" ht="30" customHeight="1">
      <c r="A70" s="8" t="n">
        <v>17</v>
      </c>
      <c r="B70" s="11" t="inlineStr">
        <is>
          <t>Union Midcap Fund</t>
        </is>
      </c>
      <c r="C70" s="8" t="n">
        <v>33.2</v>
      </c>
      <c r="D70" s="20" t="inlineStr">
        <is>
          <t>Avoid</t>
        </is>
      </c>
      <c r="E70" s="27" t="inlineStr">
        <is>
          <t>-8.12%</t>
        </is>
      </c>
      <c r="F70" s="8" t="inlineStr">
        <is>
          <t>0.31</t>
        </is>
      </c>
      <c r="G70" s="8" t="inlineStr">
        <is>
          <t>0.57</t>
        </is>
      </c>
      <c r="H70" s="8" t="inlineStr">
        <is>
          <t>94.5</t>
        </is>
      </c>
      <c r="I70" s="8" t="inlineStr">
        <is>
          <t>96.0</t>
        </is>
      </c>
      <c r="J70" s="8" t="inlineStr">
        <is>
          <t>0.96</t>
        </is>
      </c>
      <c r="K70" s="8" t="inlineStr">
        <is>
          <t>2.08%</t>
        </is>
      </c>
      <c r="L70" s="11" t="inlineStr">
        <is>
          <t>Gaurav Chopra</t>
        </is>
      </c>
    </row>
    <row r="71" ht="30" customHeight="1">
      <c r="A71" s="14" t="n">
        <v>18</v>
      </c>
      <c r="B71" s="16" t="inlineStr">
        <is>
          <t>Aditya Birla SL Midcap Fund</t>
        </is>
      </c>
      <c r="C71" s="14" t="n">
        <v>32.3</v>
      </c>
      <c r="D71" s="20" t="inlineStr">
        <is>
          <t>Avoid</t>
        </is>
      </c>
      <c r="E71" s="25" t="inlineStr">
        <is>
          <t>-3.51%</t>
        </is>
      </c>
      <c r="F71" s="14" t="inlineStr">
        <is>
          <t>0.30</t>
        </is>
      </c>
      <c r="G71" s="14" t="inlineStr">
        <is>
          <t>0.56</t>
        </is>
      </c>
      <c r="H71" s="14" t="inlineStr">
        <is>
          <t>96.2</t>
        </is>
      </c>
      <c r="I71" s="14" t="inlineStr">
        <is>
          <t>89.2</t>
        </is>
      </c>
      <c r="J71" s="14" t="inlineStr">
        <is>
          <t>0.94</t>
        </is>
      </c>
      <c r="K71" s="14" t="inlineStr">
        <is>
          <t>1.87%</t>
        </is>
      </c>
      <c r="L71" s="16" t="inlineStr">
        <is>
          <t>Vishal Gajwani</t>
        </is>
      </c>
    </row>
    <row r="72" ht="30" customHeight="1">
      <c r="A72" s="8" t="n">
        <v>19</v>
      </c>
      <c r="B72" s="11" t="inlineStr">
        <is>
          <t>Bandhan Midcap Fund</t>
        </is>
      </c>
      <c r="C72" s="8" t="n">
        <v>25.4</v>
      </c>
      <c r="D72" s="20" t="inlineStr">
        <is>
          <t>Avoid</t>
        </is>
      </c>
      <c r="E72" s="27" t="inlineStr">
        <is>
          <t>-8.75%</t>
        </is>
      </c>
      <c r="F72" s="8" t="inlineStr">
        <is>
          <t>0.29</t>
        </is>
      </c>
      <c r="G72" s="8" t="inlineStr">
        <is>
          <t>0.51</t>
        </is>
      </c>
      <c r="H72" s="8" t="inlineStr">
        <is>
          <t>114.4</t>
        </is>
      </c>
      <c r="I72" s="8" t="inlineStr">
        <is>
          <t>135.9</t>
        </is>
      </c>
      <c r="J72" s="8" t="inlineStr">
        <is>
          <t>1.12</t>
        </is>
      </c>
      <c r="K72" s="8" t="inlineStr">
        <is>
          <t>2.05%</t>
        </is>
      </c>
      <c r="L72" s="11" t="inlineStr">
        <is>
          <t>Ritu Modi</t>
        </is>
      </c>
    </row>
    <row r="73" ht="30" customHeight="1">
      <c r="A73" s="14" t="n">
        <v>20</v>
      </c>
      <c r="B73" s="16" t="inlineStr">
        <is>
          <t>UTI Mid Cap Fund-Reg(IDCW)</t>
        </is>
      </c>
      <c r="C73" s="14" t="n">
        <v>20.6</v>
      </c>
      <c r="D73" s="20" t="inlineStr">
        <is>
          <t>Avoid</t>
        </is>
      </c>
      <c r="E73" s="25" t="inlineStr">
        <is>
          <t>-6.18%</t>
        </is>
      </c>
      <c r="F73" s="14" t="inlineStr">
        <is>
          <t>0.26</t>
        </is>
      </c>
      <c r="G73" s="14" t="inlineStr">
        <is>
          <t>0.47</t>
        </is>
      </c>
      <c r="H73" s="14" t="inlineStr">
        <is>
          <t>103.1</t>
        </is>
      </c>
      <c r="I73" s="14" t="inlineStr">
        <is>
          <t>86.3</t>
        </is>
      </c>
      <c r="J73" s="14" t="inlineStr">
        <is>
          <t>0.94</t>
        </is>
      </c>
      <c r="K73" s="14" t="inlineStr">
        <is>
          <t>1.76%</t>
        </is>
      </c>
      <c r="L73" s="16" t="inlineStr">
        <is>
          <t>Vishal Chopda</t>
        </is>
      </c>
    </row>
    <row r="74" ht="30" customHeight="1">
      <c r="A74" s="8" t="n">
        <v>21</v>
      </c>
      <c r="B74" s="11" t="inlineStr">
        <is>
          <t>PGIM India Midcap Fund</t>
        </is>
      </c>
      <c r="C74" s="8" t="n">
        <v>16.3</v>
      </c>
      <c r="D74" s="20" t="inlineStr">
        <is>
          <t>Avoid</t>
        </is>
      </c>
      <c r="E74" s="27" t="inlineStr">
        <is>
          <t>-10.41%</t>
        </is>
      </c>
      <c r="F74" s="8" t="inlineStr">
        <is>
          <t>0.20</t>
        </is>
      </c>
      <c r="G74" s="8" t="inlineStr">
        <is>
          <t>0.36</t>
        </is>
      </c>
      <c r="H74" s="8" t="inlineStr">
        <is>
          <t>94.2</t>
        </is>
      </c>
      <c r="I74" s="8" t="inlineStr">
        <is>
          <t>71.8</t>
        </is>
      </c>
      <c r="J74" s="8" t="inlineStr">
        <is>
          <t>0.84</t>
        </is>
      </c>
      <c r="K74" s="8" t="inlineStr">
        <is>
          <t>1.71%</t>
        </is>
      </c>
      <c r="L74" s="11" t="inlineStr">
        <is>
          <t>Sharma Vivek</t>
        </is>
      </c>
    </row>
    <row r="75" ht="30" customHeight="1">
      <c r="A75" s="14" t="n">
        <v>22</v>
      </c>
      <c r="B75" s="16" t="inlineStr">
        <is>
          <t>Quant Mid Cap Fund</t>
        </is>
      </c>
      <c r="C75" s="14" t="n">
        <v>15.7</v>
      </c>
      <c r="D75" s="20" t="inlineStr">
        <is>
          <t>Avoid</t>
        </is>
      </c>
      <c r="E75" s="25" t="inlineStr">
        <is>
          <t>-6.67%</t>
        </is>
      </c>
      <c r="F75" s="14" t="inlineStr">
        <is>
          <t>0.21</t>
        </is>
      </c>
      <c r="G75" s="14" t="inlineStr">
        <is>
          <t>0.40</t>
        </is>
      </c>
      <c r="H75" s="14" t="inlineStr">
        <is>
          <t>105.4</t>
        </is>
      </c>
      <c r="I75" s="14" t="inlineStr">
        <is>
          <t>80.6</t>
        </is>
      </c>
      <c r="J75" s="14" t="inlineStr">
        <is>
          <t>0.88</t>
        </is>
      </c>
      <c r="K75" s="14" t="inlineStr">
        <is>
          <t>1.82%</t>
        </is>
      </c>
      <c r="L75" s="16" t="inlineStr">
        <is>
          <t>Sandeep Tandon</t>
        </is>
      </c>
    </row>
    <row r="77" ht="30" customHeight="1">
      <c r="A77" s="3" t="inlineStr">
        <is>
          <t>SMALL CAP — 15 Funds</t>
        </is>
      </c>
      <c r="B77" s="31" t="n"/>
      <c r="C77" s="31" t="n"/>
      <c r="D77" s="31" t="n"/>
      <c r="E77" s="31" t="n"/>
      <c r="F77" s="31" t="n"/>
      <c r="G77" s="31" t="n"/>
      <c r="H77" s="31" t="n"/>
      <c r="I77" s="31" t="n"/>
      <c r="J77" s="31" t="n"/>
      <c r="K77" s="31" t="n"/>
      <c r="L77" s="32" t="n"/>
    </row>
    <row r="78" ht="30" customHeight="1">
      <c r="A78" s="4" t="inlineStr">
        <is>
          <t>Rank</t>
        </is>
      </c>
      <c r="B78" s="4" t="inlineStr">
        <is>
          <t>Fund</t>
        </is>
      </c>
      <c r="C78" s="4" t="inlineStr">
        <is>
          <t>Score</t>
        </is>
      </c>
      <c r="D78" s="4" t="inlineStr">
        <is>
          <t>Rating</t>
        </is>
      </c>
      <c r="E78" s="4" t="inlineStr">
        <is>
          <t>Alpha 3Y</t>
        </is>
      </c>
      <c r="F78" s="4" t="inlineStr">
        <is>
          <t>Sharpe</t>
        </is>
      </c>
      <c r="G78" s="4" t="inlineStr">
        <is>
          <t>Sortino</t>
        </is>
      </c>
      <c r="H78" s="4" t="inlineStr">
        <is>
          <t>Down Cap</t>
        </is>
      </c>
      <c r="I78" s="4" t="inlineStr">
        <is>
          <t>Up Cap</t>
        </is>
      </c>
      <c r="J78" s="4" t="inlineStr">
        <is>
          <t>Beta</t>
        </is>
      </c>
      <c r="K78" s="4" t="inlineStr">
        <is>
          <t>Expense</t>
        </is>
      </c>
      <c r="L78" s="4" t="inlineStr">
        <is>
          <t>Fund Manager</t>
        </is>
      </c>
    </row>
    <row r="79" ht="30" customHeight="1">
      <c r="A79" s="14" t="n">
        <v>1</v>
      </c>
      <c r="B79" s="16" t="inlineStr">
        <is>
          <t>ITI Small Cap Fund</t>
        </is>
      </c>
      <c r="C79" s="9" t="n">
        <v>84.90000000000001</v>
      </c>
      <c r="D79" s="9" t="inlineStr">
        <is>
          <t>Strong Buy</t>
        </is>
      </c>
      <c r="E79" s="15" t="inlineStr">
        <is>
          <t>+2.45%</t>
        </is>
      </c>
      <c r="F79" s="14" t="inlineStr">
        <is>
          <t>0.31</t>
        </is>
      </c>
      <c r="G79" s="14" t="inlineStr">
        <is>
          <t>0.57</t>
        </is>
      </c>
      <c r="H79" s="14" t="inlineStr">
        <is>
          <t>78.3</t>
        </is>
      </c>
      <c r="I79" s="14" t="inlineStr">
        <is>
          <t>93.9</t>
        </is>
      </c>
      <c r="J79" s="14" t="inlineStr">
        <is>
          <t>0.88</t>
        </is>
      </c>
      <c r="K79" s="14" t="inlineStr">
        <is>
          <t>1.86%</t>
        </is>
      </c>
      <c r="L79" s="16" t="inlineStr">
        <is>
          <t>Dhimant Shah</t>
        </is>
      </c>
    </row>
    <row r="80" ht="30" customHeight="1">
      <c r="A80" s="8" t="n">
        <v>2</v>
      </c>
      <c r="B80" s="11" t="inlineStr">
        <is>
          <t>Edelweiss Small Cap Fund</t>
        </is>
      </c>
      <c r="C80" s="9" t="n">
        <v>81.09999999999999</v>
      </c>
      <c r="D80" s="9" t="inlineStr">
        <is>
          <t>Strong Buy</t>
        </is>
      </c>
      <c r="E80" s="27" t="inlineStr">
        <is>
          <t>-2.32%</t>
        </is>
      </c>
      <c r="F80" s="8" t="inlineStr">
        <is>
          <t>0.27</t>
        </is>
      </c>
      <c r="G80" s="8" t="inlineStr">
        <is>
          <t>0.49</t>
        </is>
      </c>
      <c r="H80" s="8" t="inlineStr">
        <is>
          <t>76.1</t>
        </is>
      </c>
      <c r="I80" s="8" t="inlineStr">
        <is>
          <t>83.8</t>
        </is>
      </c>
      <c r="J80" s="8" t="inlineStr">
        <is>
          <t>0.82</t>
        </is>
      </c>
      <c r="K80" s="8" t="inlineStr">
        <is>
          <t>1.81%</t>
        </is>
      </c>
      <c r="L80" s="11" t="inlineStr">
        <is>
          <t>Dhruv Bhatia</t>
        </is>
      </c>
    </row>
    <row r="81" ht="30" customHeight="1">
      <c r="A81" s="14" t="n">
        <v>3</v>
      </c>
      <c r="B81" s="16" t="inlineStr">
        <is>
          <t>Sundaram Small Cap Fund</t>
        </is>
      </c>
      <c r="C81" s="14" t="n">
        <v>69.09999999999999</v>
      </c>
      <c r="D81" s="17" t="inlineStr">
        <is>
          <t>Buy</t>
        </is>
      </c>
      <c r="E81" s="25" t="inlineStr">
        <is>
          <t>-2.90%</t>
        </is>
      </c>
      <c r="F81" s="14" t="inlineStr">
        <is>
          <t>0.26</t>
        </is>
      </c>
      <c r="G81" s="14" t="inlineStr">
        <is>
          <t>0.45</t>
        </is>
      </c>
      <c r="H81" s="14" t="inlineStr">
        <is>
          <t>79.3</t>
        </is>
      </c>
      <c r="I81" s="14" t="inlineStr">
        <is>
          <t>84.2</t>
        </is>
      </c>
      <c r="J81" s="14" t="inlineStr">
        <is>
          <t>0.82</t>
        </is>
      </c>
      <c r="K81" s="14" t="inlineStr">
        <is>
          <t>1.94%</t>
        </is>
      </c>
      <c r="L81" s="16" t="inlineStr">
        <is>
          <t>Rohit Seksaria</t>
        </is>
      </c>
    </row>
    <row r="82" ht="30" customHeight="1">
      <c r="A82" s="8" t="n">
        <v>4</v>
      </c>
      <c r="B82" s="11" t="inlineStr">
        <is>
          <t>Invesco India Smallcap Fund</t>
        </is>
      </c>
      <c r="C82" s="8" t="n">
        <v>63.6</v>
      </c>
      <c r="D82" s="18" t="inlineStr">
        <is>
          <t>Hold</t>
        </is>
      </c>
      <c r="E82" s="27" t="inlineStr">
        <is>
          <t>-4.62%</t>
        </is>
      </c>
      <c r="F82" s="8" t="inlineStr">
        <is>
          <t>0.31</t>
        </is>
      </c>
      <c r="G82" s="8" t="inlineStr">
        <is>
          <t>0.56</t>
        </is>
      </c>
      <c r="H82" s="8" t="inlineStr">
        <is>
          <t>113.9</t>
        </is>
      </c>
      <c r="I82" s="8" t="inlineStr">
        <is>
          <t>146.3</t>
        </is>
      </c>
      <c r="J82" s="8" t="inlineStr">
        <is>
          <t>1.12</t>
        </is>
      </c>
      <c r="K82" s="8" t="inlineStr">
        <is>
          <t>1.70%</t>
        </is>
      </c>
      <c r="L82" s="11" t="inlineStr">
        <is>
          <t>Taher Badshah</t>
        </is>
      </c>
    </row>
    <row r="83" ht="30" customHeight="1">
      <c r="A83" s="14" t="n">
        <v>5</v>
      </c>
      <c r="B83" s="16" t="inlineStr">
        <is>
          <t>Bank of India Small Cap Fund</t>
        </is>
      </c>
      <c r="C83" s="14" t="n">
        <v>59.5</v>
      </c>
      <c r="D83" s="18" t="inlineStr">
        <is>
          <t>Hold</t>
        </is>
      </c>
      <c r="E83" s="25" t="inlineStr">
        <is>
          <t>-1.79%</t>
        </is>
      </c>
      <c r="F83" s="14" t="inlineStr">
        <is>
          <t>0.24</t>
        </is>
      </c>
      <c r="G83" s="14" t="inlineStr">
        <is>
          <t>0.42</t>
        </is>
      </c>
      <c r="H83" s="14" t="inlineStr">
        <is>
          <t>87.0</t>
        </is>
      </c>
      <c r="I83" s="14" t="inlineStr">
        <is>
          <t>88.1</t>
        </is>
      </c>
      <c r="J83" s="14" t="inlineStr">
        <is>
          <t>0.89</t>
        </is>
      </c>
      <c r="K83" s="14" t="inlineStr">
        <is>
          <t>1.95%</t>
        </is>
      </c>
      <c r="L83" s="16" t="inlineStr">
        <is>
          <t>Alok Singh</t>
        </is>
      </c>
    </row>
    <row r="84" ht="30" customHeight="1">
      <c r="A84" s="8" t="n">
        <v>6</v>
      </c>
      <c r="B84" s="11" t="inlineStr">
        <is>
          <t>Mahindra Manulife Small Cap Fund</t>
        </is>
      </c>
      <c r="C84" s="8" t="n">
        <v>56.2</v>
      </c>
      <c r="D84" s="18" t="inlineStr">
        <is>
          <t>Hold</t>
        </is>
      </c>
      <c r="E84" s="27" t="inlineStr">
        <is>
          <t>-4.96%</t>
        </is>
      </c>
      <c r="F84" s="8" t="inlineStr">
        <is>
          <t>0.31</t>
        </is>
      </c>
      <c r="G84" s="8" t="inlineStr">
        <is>
          <t>0.56</t>
        </is>
      </c>
      <c r="H84" s="8" t="inlineStr">
        <is>
          <t>115.8</t>
        </is>
      </c>
      <c r="I84" s="8" t="inlineStr">
        <is>
          <t>145.7</t>
        </is>
      </c>
      <c r="J84" s="8" t="inlineStr">
        <is>
          <t>1.12</t>
        </is>
      </c>
      <c r="K84" s="8" t="inlineStr">
        <is>
          <t>1.87%</t>
        </is>
      </c>
      <c r="L84" s="11" t="inlineStr">
        <is>
          <t>Vishal Jajoo</t>
        </is>
      </c>
    </row>
    <row r="85" ht="30" customHeight="1">
      <c r="A85" s="14" t="n">
        <v>7</v>
      </c>
      <c r="B85" s="16" t="inlineStr">
        <is>
          <t>ICICI Pru Smallcap Fund</t>
        </is>
      </c>
      <c r="C85" s="14" t="n">
        <v>55.3</v>
      </c>
      <c r="D85" s="18" t="inlineStr">
        <is>
          <t>Hold</t>
        </is>
      </c>
      <c r="E85" s="25" t="inlineStr">
        <is>
          <t>-6.46%</t>
        </is>
      </c>
      <c r="F85" s="14" t="inlineStr">
        <is>
          <t>0.23</t>
        </is>
      </c>
      <c r="G85" s="14" t="inlineStr">
        <is>
          <t>0.44</t>
        </is>
      </c>
      <c r="H85" s="14" t="inlineStr">
        <is>
          <t>71.5</t>
        </is>
      </c>
      <c r="I85" s="14" t="inlineStr">
        <is>
          <t>73.9</t>
        </is>
      </c>
      <c r="J85" s="14" t="inlineStr">
        <is>
          <t>0.74</t>
        </is>
      </c>
      <c r="K85" s="14" t="inlineStr">
        <is>
          <t>1.80%</t>
        </is>
      </c>
      <c r="L85" s="16" t="inlineStr">
        <is>
          <t>Rajat Chandak</t>
        </is>
      </c>
    </row>
    <row r="86" ht="30" customHeight="1">
      <c r="A86" s="8" t="n">
        <v>8</v>
      </c>
      <c r="B86" s="11" t="inlineStr">
        <is>
          <t>Franklin India Small Cap Fund</t>
        </is>
      </c>
      <c r="C86" s="8" t="n">
        <v>53.2</v>
      </c>
      <c r="D86" s="18" t="inlineStr">
        <is>
          <t>Hold</t>
        </is>
      </c>
      <c r="E86" s="27" t="inlineStr">
        <is>
          <t>-3.74%</t>
        </is>
      </c>
      <c r="F86" s="8" t="inlineStr">
        <is>
          <t>0.23</t>
        </is>
      </c>
      <c r="G86" s="8" t="inlineStr">
        <is>
          <t>0.42</t>
        </is>
      </c>
      <c r="H86" s="8" t="inlineStr">
        <is>
          <t>85.8</t>
        </is>
      </c>
      <c r="I86" s="8" t="inlineStr">
        <is>
          <t>85.0</t>
        </is>
      </c>
      <c r="J86" s="8" t="inlineStr">
        <is>
          <t>0.86</t>
        </is>
      </c>
      <c r="K86" s="8" t="inlineStr">
        <is>
          <t>1.75%</t>
        </is>
      </c>
      <c r="L86" s="11" t="inlineStr">
        <is>
          <t>R. Janakiraman</t>
        </is>
      </c>
    </row>
    <row r="87" ht="30" customHeight="1">
      <c r="A87" s="14" t="n">
        <v>9</v>
      </c>
      <c r="B87" s="16" t="inlineStr">
        <is>
          <t>Union Small Cap Fund</t>
        </is>
      </c>
      <c r="C87" s="14" t="n">
        <v>44.9</v>
      </c>
      <c r="D87" s="19" t="inlineStr">
        <is>
          <t>Underweight</t>
        </is>
      </c>
      <c r="E87" s="25" t="inlineStr">
        <is>
          <t>-7.81%</t>
        </is>
      </c>
      <c r="F87" s="14" t="inlineStr">
        <is>
          <t>0.26</t>
        </is>
      </c>
      <c r="G87" s="14" t="inlineStr">
        <is>
          <t>0.44</t>
        </is>
      </c>
      <c r="H87" s="14" t="inlineStr">
        <is>
          <t>80.8</t>
        </is>
      </c>
      <c r="I87" s="14" t="inlineStr">
        <is>
          <t>93.0</t>
        </is>
      </c>
      <c r="J87" s="14" t="inlineStr">
        <is>
          <t>0.88</t>
        </is>
      </c>
      <c r="K87" s="14" t="inlineStr">
        <is>
          <t>2.10%</t>
        </is>
      </c>
      <c r="L87" s="16" t="inlineStr">
        <is>
          <t>Pratik Dharmshi</t>
        </is>
      </c>
    </row>
    <row r="88" ht="30" customHeight="1">
      <c r="A88" s="8" t="n">
        <v>10</v>
      </c>
      <c r="B88" s="11" t="inlineStr">
        <is>
          <t>UTI Small Cap Fund</t>
        </is>
      </c>
      <c r="C88" s="8" t="n">
        <v>42.2</v>
      </c>
      <c r="D88" s="19" t="inlineStr">
        <is>
          <t>Underweight</t>
        </is>
      </c>
      <c r="E88" s="27" t="inlineStr">
        <is>
          <t>-4.45%</t>
        </is>
      </c>
      <c r="F88" s="8" t="inlineStr">
        <is>
          <t>0.23</t>
        </is>
      </c>
      <c r="G88" s="8" t="inlineStr">
        <is>
          <t>0.42</t>
        </is>
      </c>
      <c r="H88" s="8" t="inlineStr">
        <is>
          <t>84.4</t>
        </is>
      </c>
      <c r="I88" s="8" t="inlineStr">
        <is>
          <t>82.8</t>
        </is>
      </c>
      <c r="J88" s="8" t="inlineStr">
        <is>
          <t>0.85</t>
        </is>
      </c>
      <c r="K88" s="8" t="inlineStr">
        <is>
          <t>1.86%</t>
        </is>
      </c>
      <c r="L88" s="11" t="inlineStr">
        <is>
          <t>Nitin Jain</t>
        </is>
      </c>
    </row>
    <row r="89" ht="30" customHeight="1">
      <c r="A89" s="14" t="n">
        <v>11</v>
      </c>
      <c r="B89" s="16" t="inlineStr">
        <is>
          <t>Canara Rob Small Cap Fund</t>
        </is>
      </c>
      <c r="C89" s="14" t="n">
        <v>39.5</v>
      </c>
      <c r="D89" s="19" t="inlineStr">
        <is>
          <t>Underweight</t>
        </is>
      </c>
      <c r="E89" s="25" t="inlineStr">
        <is>
          <t>-6.08%</t>
        </is>
      </c>
      <c r="F89" s="14" t="inlineStr">
        <is>
          <t>0.21</t>
        </is>
      </c>
      <c r="G89" s="14" t="inlineStr">
        <is>
          <t>0.37</t>
        </is>
      </c>
      <c r="H89" s="14" t="inlineStr">
        <is>
          <t>81.6</t>
        </is>
      </c>
      <c r="I89" s="14" t="inlineStr">
        <is>
          <t>78.2</t>
        </is>
      </c>
      <c r="J89" s="14" t="inlineStr">
        <is>
          <t>0.81</t>
        </is>
      </c>
      <c r="K89" s="14" t="inlineStr">
        <is>
          <t>1.70%</t>
        </is>
      </c>
      <c r="L89" s="16" t="inlineStr">
        <is>
          <t>Pranav Gokhale</t>
        </is>
      </c>
    </row>
    <row r="90" ht="30" customHeight="1">
      <c r="A90" s="8" t="n">
        <v>12</v>
      </c>
      <c r="B90" s="11" t="inlineStr">
        <is>
          <t>LIC MF Small Cap Fund</t>
        </is>
      </c>
      <c r="C90" s="8" t="n">
        <v>29.6</v>
      </c>
      <c r="D90" s="20" t="inlineStr">
        <is>
          <t>Avoid</t>
        </is>
      </c>
      <c r="E90" s="27" t="inlineStr">
        <is>
          <t>-4.65%</t>
        </is>
      </c>
      <c r="F90" s="8" t="inlineStr">
        <is>
          <t>0.21</t>
        </is>
      </c>
      <c r="G90" s="8" t="inlineStr">
        <is>
          <t>0.36</t>
        </is>
      </c>
      <c r="H90" s="8" t="inlineStr">
        <is>
          <t>94.3</t>
        </is>
      </c>
      <c r="I90" s="8" t="inlineStr">
        <is>
          <t>87.9</t>
        </is>
      </c>
      <c r="J90" s="8" t="inlineStr">
        <is>
          <t>0.92</t>
        </is>
      </c>
      <c r="K90" s="8" t="inlineStr">
        <is>
          <t>2.39%</t>
        </is>
      </c>
      <c r="L90" s="11" t="inlineStr">
        <is>
          <t>Dikshit Mittal</t>
        </is>
      </c>
    </row>
    <row r="91" ht="30" customHeight="1">
      <c r="A91" s="14" t="n">
        <v>13</v>
      </c>
      <c r="B91" s="16" t="inlineStr">
        <is>
          <t>PGIM India Small Cap Fund</t>
        </is>
      </c>
      <c r="C91" s="14" t="n">
        <v>28.7</v>
      </c>
      <c r="D91" s="20" t="inlineStr">
        <is>
          <t>Avoid</t>
        </is>
      </c>
      <c r="E91" s="25" t="inlineStr">
        <is>
          <t>-7.10%</t>
        </is>
      </c>
      <c r="F91" s="14" t="inlineStr">
        <is>
          <t>0.20</t>
        </is>
      </c>
      <c r="G91" s="14" t="inlineStr">
        <is>
          <t>0.35</t>
        </is>
      </c>
      <c r="H91" s="14" t="inlineStr">
        <is>
          <t>75.6</t>
        </is>
      </c>
      <c r="I91" s="14" t="inlineStr">
        <is>
          <t>71.1</t>
        </is>
      </c>
      <c r="J91" s="14" t="inlineStr">
        <is>
          <t>0.74</t>
        </is>
      </c>
      <c r="K91" s="14" t="inlineStr">
        <is>
          <t>2.08%</t>
        </is>
      </c>
      <c r="L91" s="16" t="inlineStr">
        <is>
          <t>Utsav Mehta</t>
        </is>
      </c>
    </row>
    <row r="92" ht="30" customHeight="1">
      <c r="A92" s="8" t="n">
        <v>14</v>
      </c>
      <c r="B92" s="11" t="inlineStr">
        <is>
          <t>Aditya Birla SL Small Cap Fund</t>
        </is>
      </c>
      <c r="C92" s="8" t="n">
        <v>24.8</v>
      </c>
      <c r="D92" s="20" t="inlineStr">
        <is>
          <t>Avoid</t>
        </is>
      </c>
      <c r="E92" s="27" t="inlineStr">
        <is>
          <t>-9.75%</t>
        </is>
      </c>
      <c r="F92" s="8" t="inlineStr">
        <is>
          <t>0.24</t>
        </is>
      </c>
      <c r="G92" s="8" t="inlineStr">
        <is>
          <t>0.42</t>
        </is>
      </c>
      <c r="H92" s="8" t="inlineStr">
        <is>
          <t>133.1</t>
        </is>
      </c>
      <c r="I92" s="8" t="inlineStr">
        <is>
          <t>134.4</t>
        </is>
      </c>
      <c r="J92" s="8" t="inlineStr">
        <is>
          <t>1.14</t>
        </is>
      </c>
      <c r="K92" s="8" t="inlineStr">
        <is>
          <t>1.90%</t>
        </is>
      </c>
      <c r="L92" s="11" t="inlineStr">
        <is>
          <t>Abhinav Khandelwal</t>
        </is>
      </c>
    </row>
    <row r="93" ht="30" customHeight="1">
      <c r="A93" s="14" t="n">
        <v>15</v>
      </c>
      <c r="B93" s="16" t="inlineStr">
        <is>
          <t>Tata Small Cap Fund</t>
        </is>
      </c>
      <c r="C93" s="14" t="n">
        <v>14.7</v>
      </c>
      <c r="D93" s="20" t="inlineStr">
        <is>
          <t>Avoid</t>
        </is>
      </c>
      <c r="E93" s="25" t="inlineStr">
        <is>
          <t>-9.52%</t>
        </is>
      </c>
      <c r="F93" s="14" t="inlineStr">
        <is>
          <t>0.16</t>
        </is>
      </c>
      <c r="G93" s="14" t="inlineStr">
        <is>
          <t>0.27</t>
        </is>
      </c>
      <c r="H93" s="14" t="inlineStr">
        <is>
          <t>90.3</t>
        </is>
      </c>
      <c r="I93" s="14" t="inlineStr">
        <is>
          <t>75.5</t>
        </is>
      </c>
      <c r="J93" s="14" t="inlineStr">
        <is>
          <t>0.84</t>
        </is>
      </c>
      <c r="K93" s="14" t="inlineStr">
        <is>
          <t>1.69%</t>
        </is>
      </c>
      <c r="L93" s="16" t="inlineStr">
        <is>
          <t>Chandraprakash Padiyar</t>
        </is>
      </c>
    </row>
  </sheetData>
  <mergeCells count="5">
    <mergeCell ref="A52:L52"/>
    <mergeCell ref="A1:L1"/>
    <mergeCell ref="A22:L22"/>
    <mergeCell ref="A3:L3"/>
    <mergeCell ref="A77:L77"/>
  </mergeCells>
  <pageMargins left="0.75" right="0.75" top="1" bottom="1" header="0.5" footer="0.5"/>
</worksheet>
</file>

<file path=xl/worksheets/sheet8.xml><?xml version="1.0" encoding="utf-8"?>
<worksheet xmlns="http://schemas.openxmlformats.org/spreadsheetml/2006/main">
  <sheetPr>
    <tabColor rgb="00E65100"/>
    <outlinePr summaryBelow="1" summaryRight="1"/>
    <pageSetUpPr/>
  </sheetPr>
  <dimension ref="A1:K84"/>
  <sheetViews>
    <sheetView workbookViewId="0">
      <selection activeCell="A1" sqref="A1"/>
    </sheetView>
  </sheetViews>
  <sheetFormatPr baseColWidth="8" defaultRowHeight="15"/>
  <cols>
    <col width="5" customWidth="1" min="1" max="1"/>
    <col width="30" customWidth="1" min="2" max="2"/>
    <col width="12" customWidth="1" min="3" max="3"/>
    <col width="10" customWidth="1" min="4" max="4"/>
    <col width="14" customWidth="1" min="5" max="5"/>
    <col width="16" customWidth="1" min="6" max="6"/>
    <col width="14" customWidth="1" min="7" max="7"/>
    <col width="70" customWidth="1" min="8" max="8"/>
    <col width="22" customWidth="1" min="9" max="9"/>
    <col width="35" customWidth="1" min="10" max="10"/>
    <col width="12" customWidth="1" min="11" max="11"/>
  </cols>
  <sheetData>
    <row r="1" ht="30" customHeight="1">
      <c r="A1" s="22" t="inlineStr">
        <is>
          <t>ANALYST QUALITATIVE OVERLAY</t>
        </is>
      </c>
    </row>
    <row r="2">
      <c r="A2" s="2" t="inlineStr">
        <is>
          <t>Practitioner commentary based on Omega Portfolio Advisors methodology. Quant score is primary signal; qualitative layer adjusts for model-blind factors.</t>
        </is>
      </c>
    </row>
    <row r="3" ht="30" customHeight="1">
      <c r="A3" s="3" t="inlineStr">
        <is>
          <t>QUALITATIVE OVERLAY</t>
        </is>
      </c>
      <c r="B3" s="31" t="n"/>
      <c r="C3" s="31" t="n"/>
      <c r="D3" s="31" t="n"/>
      <c r="E3" s="31" t="n"/>
      <c r="F3" s="31" t="n"/>
      <c r="G3" s="31" t="n"/>
      <c r="H3" s="31" t="n"/>
      <c r="I3" s="31" t="n"/>
      <c r="J3" s="31" t="n"/>
      <c r="K3" s="32" t="n"/>
    </row>
    <row r="4" ht="30" customHeight="1">
      <c r="A4" s="4" t="inlineStr">
        <is>
          <t>#</t>
        </is>
      </c>
      <c r="B4" s="4" t="inlineStr">
        <is>
          <t>Fund</t>
        </is>
      </c>
      <c r="C4" s="4" t="inlineStr">
        <is>
          <t>Category</t>
        </is>
      </c>
      <c r="D4" s="4" t="inlineStr">
        <is>
          <t>Score</t>
        </is>
      </c>
      <c r="E4" s="4" t="inlineStr">
        <is>
          <t>Rating</t>
        </is>
      </c>
      <c r="F4" s="4" t="inlineStr">
        <is>
          <t>Conviction</t>
        </is>
      </c>
      <c r="G4" s="4" t="inlineStr">
        <is>
          <t>Override</t>
        </is>
      </c>
      <c r="H4" s="4" t="inlineStr">
        <is>
          <t>Analyst Commentary</t>
        </is>
      </c>
      <c r="I4" s="4" t="inlineStr">
        <is>
          <t>Key Risk</t>
        </is>
      </c>
      <c r="J4" s="4" t="inlineStr">
        <is>
          <t>Watch Items</t>
        </is>
      </c>
      <c r="K4" s="4" t="inlineStr">
        <is>
          <t>Reviewed</t>
        </is>
      </c>
    </row>
    <row r="5" ht="55" customHeight="1">
      <c r="A5" s="14" t="n">
        <v>1</v>
      </c>
      <c r="B5" s="16" t="inlineStr">
        <is>
          <t>DSP Large Cap Fund</t>
        </is>
      </c>
      <c r="C5" s="14" t="inlineStr">
        <is>
          <t>Large Cap</t>
        </is>
      </c>
      <c r="D5" s="14" t="n">
        <v>92.5</v>
      </c>
      <c r="E5" s="9" t="inlineStr">
        <is>
          <t>Strong Buy</t>
        </is>
      </c>
      <c r="F5" s="14" t="inlineStr">
        <is>
          <t>High</t>
        </is>
      </c>
      <c r="G5" s="14" t="inlineStr">
        <is>
          <t>No Override</t>
        </is>
      </c>
      <c r="H5" s="29" t="inlineStr">
        <is>
          <t>STRENGTHS: strong alpha (+3.96%); excellent downside protection (DC 76); above-avg Sharpe (0.33). Most defensive large cap. Core allocation for conservative clients.</t>
        </is>
      </c>
      <c r="I5" s="14" t="inlineStr">
        <is>
          <t>Regime change risk</t>
        </is>
      </c>
      <c r="J5" s="16" t="inlineStr">
        <is>
          <t>No flags</t>
        </is>
      </c>
      <c r="K5" s="14" t="inlineStr">
        <is>
          <t>Mar 2026</t>
        </is>
      </c>
    </row>
    <row r="6" ht="55" customHeight="1">
      <c r="A6" s="8" t="n">
        <v>2</v>
      </c>
      <c r="B6" s="11" t="inlineStr">
        <is>
          <t>ICICI Pru Large Cap Fund</t>
        </is>
      </c>
      <c r="C6" s="8" t="inlineStr">
        <is>
          <t>Large Cap</t>
        </is>
      </c>
      <c r="D6" s="8" t="n">
        <v>90.7</v>
      </c>
      <c r="E6" s="9" t="inlineStr">
        <is>
          <t>Strong Buy</t>
        </is>
      </c>
      <c r="F6" s="8" t="inlineStr">
        <is>
          <t>High</t>
        </is>
      </c>
      <c r="G6" s="8" t="inlineStr">
        <is>
          <t>No Override</t>
        </is>
      </c>
      <c r="H6" s="30" t="inlineStr">
        <is>
          <t>STRENGTHS: strong alpha (+2.62%); excellent downside protection (DC 82); above-avg Sharpe (0.33). Most defensive large cap. Core allocation for conservative clients.</t>
        </is>
      </c>
      <c r="I6" s="8" t="inlineStr">
        <is>
          <t>Regime change risk</t>
        </is>
      </c>
      <c r="J6" s="11" t="inlineStr">
        <is>
          <t>AUM capacity concern</t>
        </is>
      </c>
      <c r="K6" s="8" t="inlineStr">
        <is>
          <t>Mar 2026</t>
        </is>
      </c>
    </row>
    <row r="7" ht="55" customHeight="1">
      <c r="A7" s="14" t="n">
        <v>3</v>
      </c>
      <c r="B7" s="16" t="inlineStr">
        <is>
          <t>ICICI Pru Midcap Fund</t>
        </is>
      </c>
      <c r="C7" s="14" t="inlineStr">
        <is>
          <t>Mid Cap</t>
        </is>
      </c>
      <c r="D7" s="14" t="n">
        <v>88.90000000000001</v>
      </c>
      <c r="E7" s="9" t="inlineStr">
        <is>
          <t>Strong Buy</t>
        </is>
      </c>
      <c r="F7" s="14" t="inlineStr">
        <is>
          <t>High</t>
        </is>
      </c>
      <c r="G7" s="14" t="inlineStr">
        <is>
          <t>No Override</t>
        </is>
      </c>
      <c r="H7" s="29" t="inlineStr">
        <is>
          <t>STRENGTHS: positive alpha (+1.62%); solid downside protection (DC 90); top-tier Sharpe (0.37). Quality mid-cap. Selection alpha is the edge.</t>
        </is>
      </c>
      <c r="I7" s="14" t="inlineStr">
        <is>
          <t>Regime change risk</t>
        </is>
      </c>
      <c r="J7" s="16" t="inlineStr">
        <is>
          <t>No flags</t>
        </is>
      </c>
      <c r="K7" s="14" t="inlineStr">
        <is>
          <t>Mar 2026</t>
        </is>
      </c>
    </row>
    <row r="8" ht="55" customHeight="1">
      <c r="A8" s="8" t="n">
        <v>4</v>
      </c>
      <c r="B8" s="11" t="inlineStr">
        <is>
          <t>Aditya Birla SL Flexi Cap Fund</t>
        </is>
      </c>
      <c r="C8" s="8" t="inlineStr">
        <is>
          <t>Flexi Cap</t>
        </is>
      </c>
      <c r="D8" s="8" t="n">
        <v>88.09999999999999</v>
      </c>
      <c r="E8" s="9" t="inlineStr">
        <is>
          <t>Strong Buy</t>
        </is>
      </c>
      <c r="F8" s="8" t="inlineStr">
        <is>
          <t>High</t>
        </is>
      </c>
      <c r="G8" s="8" t="inlineStr">
        <is>
          <t>No Override</t>
        </is>
      </c>
      <c r="H8" s="30" t="inlineStr">
        <is>
          <t>STRENGTHS: positive alpha (+1.85%); solid downside protection (DC 88); above-avg Sharpe (0.32). Conservative flexi positioning. Good diversifier.</t>
        </is>
      </c>
      <c r="I8" s="8" t="inlineStr">
        <is>
          <t>Regime change risk</t>
        </is>
      </c>
      <c r="J8" s="11" t="inlineStr">
        <is>
          <t>No flags</t>
        </is>
      </c>
      <c r="K8" s="8" t="inlineStr">
        <is>
          <t>Mar 2026</t>
        </is>
      </c>
    </row>
    <row r="9" ht="55" customHeight="1">
      <c r="A9" s="14" t="n">
        <v>5</v>
      </c>
      <c r="B9" s="16" t="inlineStr">
        <is>
          <t>ITI Small Cap Fund</t>
        </is>
      </c>
      <c r="C9" s="14" t="inlineStr">
        <is>
          <t>Small Cap</t>
        </is>
      </c>
      <c r="D9" s="14" t="n">
        <v>84.90000000000001</v>
      </c>
      <c r="E9" s="9" t="inlineStr">
        <is>
          <t>Strong Buy</t>
        </is>
      </c>
      <c r="F9" s="14" t="inlineStr">
        <is>
          <t>High</t>
        </is>
      </c>
      <c r="G9" s="14" t="inlineStr">
        <is>
          <t>No Override</t>
        </is>
      </c>
      <c r="H9" s="29" t="inlineStr">
        <is>
          <t>STRENGTHS: strong alpha (+2.45%); excellent downside protection (DC 78); above-avg Sharpe (0.31). CONCERNS: elevated turnover (118%). Rare positive-alpha small cap. High conviction, size appropriately.</t>
        </is>
      </c>
      <c r="I9" s="14" t="inlineStr">
        <is>
          <t>Regime change risk</t>
        </is>
      </c>
      <c r="J9" s="16" t="inlineStr">
        <is>
          <t>Recent alpha improvement, sustainability TBD; Turnover 118%</t>
        </is>
      </c>
      <c r="K9" s="14" t="inlineStr">
        <is>
          <t>Mar 2026</t>
        </is>
      </c>
    </row>
    <row r="10" ht="55" customHeight="1">
      <c r="A10" s="8" t="n">
        <v>6</v>
      </c>
      <c r="B10" s="11" t="inlineStr">
        <is>
          <t>Edelweiss Mid Cap Fund</t>
        </is>
      </c>
      <c r="C10" s="8" t="inlineStr">
        <is>
          <t>Mid Cap</t>
        </is>
      </c>
      <c r="D10" s="8" t="n">
        <v>83.09999999999999</v>
      </c>
      <c r="E10" s="9" t="inlineStr">
        <is>
          <t>Strong Buy</t>
        </is>
      </c>
      <c r="F10" s="8" t="inlineStr">
        <is>
          <t>High</t>
        </is>
      </c>
      <c r="G10" s="8" t="inlineStr">
        <is>
          <t>No Override</t>
        </is>
      </c>
      <c r="H10" s="30" t="inlineStr">
        <is>
          <t>STRENGTHS: positive alpha (+1.57%); solid downside protection (DC 93); top-tier Sharpe (0.37). Quality mid-cap. Selection alpha is the edge.</t>
        </is>
      </c>
      <c r="I10" s="8" t="inlineStr">
        <is>
          <t>Regime change risk</t>
        </is>
      </c>
      <c r="J10" s="11" t="inlineStr">
        <is>
          <t>No flags</t>
        </is>
      </c>
      <c r="K10" s="8" t="inlineStr">
        <is>
          <t>Mar 2026</t>
        </is>
      </c>
    </row>
    <row r="11" ht="55" customHeight="1">
      <c r="A11" s="14" t="n">
        <v>7</v>
      </c>
      <c r="B11" s="16" t="inlineStr">
        <is>
          <t>Sundaram Mid Cap Fund</t>
        </is>
      </c>
      <c r="C11" s="14" t="inlineStr">
        <is>
          <t>Mid Cap</t>
        </is>
      </c>
      <c r="D11" s="14" t="n">
        <v>83.09999999999999</v>
      </c>
      <c r="E11" s="9" t="inlineStr">
        <is>
          <t>Strong Buy</t>
        </is>
      </c>
      <c r="F11" s="14" t="inlineStr">
        <is>
          <t>High</t>
        </is>
      </c>
      <c r="G11" s="14" t="inlineStr">
        <is>
          <t>No Override</t>
        </is>
      </c>
      <c r="H11" s="29" t="inlineStr">
        <is>
          <t>STRENGTHS: positive alpha (+0.62%); solid downside protection (DC 89); top-tier Sharpe (0.38). Quality mid-cap. Selection alpha is the edge.</t>
        </is>
      </c>
      <c r="I11" s="14" t="inlineStr">
        <is>
          <t>Regime change risk</t>
        </is>
      </c>
      <c r="J11" s="16" t="inlineStr">
        <is>
          <t>Recent alpha improvement, sustainability TBD</t>
        </is>
      </c>
      <c r="K11" s="14" t="inlineStr">
        <is>
          <t>Mar 2026</t>
        </is>
      </c>
    </row>
    <row r="12" ht="55" customHeight="1">
      <c r="A12" s="8" t="n">
        <v>8</v>
      </c>
      <c r="B12" s="11" t="inlineStr">
        <is>
          <t>Edelweiss Small Cap Fund</t>
        </is>
      </c>
      <c r="C12" s="8" t="inlineStr">
        <is>
          <t>Small Cap</t>
        </is>
      </c>
      <c r="D12" s="8" t="n">
        <v>81.09999999999999</v>
      </c>
      <c r="E12" s="9" t="inlineStr">
        <is>
          <t>Strong Buy</t>
        </is>
      </c>
      <c r="F12" s="8" t="inlineStr">
        <is>
          <t>High</t>
        </is>
      </c>
      <c r="G12" s="8" t="inlineStr">
        <is>
          <t>No Override</t>
        </is>
      </c>
      <c r="H12" s="30" t="inlineStr">
        <is>
          <t>STRENGTHS: excellent downside protection (DC 76); defensive beta (0.82). CONCERNS: negative alpha (-2.32%). Defensive small-cap. Suitable for conservative allocation.</t>
        </is>
      </c>
      <c r="I12" s="8" t="inlineStr">
        <is>
          <t>Alpha sustainability</t>
        </is>
      </c>
      <c r="J12" s="11" t="inlineStr">
        <is>
          <t>No flags</t>
        </is>
      </c>
      <c r="K12" s="8" t="inlineStr">
        <is>
          <t>Mar 2026</t>
        </is>
      </c>
    </row>
    <row r="13" ht="55" customHeight="1">
      <c r="A13" s="14" t="n">
        <v>9</v>
      </c>
      <c r="B13" s="16" t="inlineStr">
        <is>
          <t>Franklin India Flexi Cap Fund</t>
        </is>
      </c>
      <c r="C13" s="14" t="inlineStr">
        <is>
          <t>Flexi Cap</t>
        </is>
      </c>
      <c r="D13" s="14" t="n">
        <v>80.3</v>
      </c>
      <c r="E13" s="9" t="inlineStr">
        <is>
          <t>Strong Buy</t>
        </is>
      </c>
      <c r="F13" s="14" t="inlineStr">
        <is>
          <t>High</t>
        </is>
      </c>
      <c r="G13" s="14" t="inlineStr">
        <is>
          <t>No Override</t>
        </is>
      </c>
      <c r="H13" s="29" t="inlineStr">
        <is>
          <t>STRENGTHS: positive alpha (+1.09%); solid downside protection (DC 88); above-avg Sharpe (0.31). Conservative flexi positioning. Good diversifier.</t>
        </is>
      </c>
      <c r="I13" s="14" t="inlineStr">
        <is>
          <t>Regime change risk</t>
        </is>
      </c>
      <c r="J13" s="16" t="inlineStr">
        <is>
          <t>No flags</t>
        </is>
      </c>
      <c r="K13" s="14" t="inlineStr">
        <is>
          <t>Mar 2026</t>
        </is>
      </c>
    </row>
    <row r="14" ht="55" customHeight="1">
      <c r="A14" s="8" t="n">
        <v>10</v>
      </c>
      <c r="B14" s="11" t="inlineStr">
        <is>
          <t>Mahindra Manulife Mid Cap Fund</t>
        </is>
      </c>
      <c r="C14" s="8" t="inlineStr">
        <is>
          <t>Mid Cap</t>
        </is>
      </c>
      <c r="D14" s="8" t="n">
        <v>76.7</v>
      </c>
      <c r="E14" s="17" t="inlineStr">
        <is>
          <t>Buy</t>
        </is>
      </c>
      <c r="F14" s="8" t="inlineStr">
        <is>
          <t>Moderate-High</t>
        </is>
      </c>
      <c r="G14" s="8" t="inlineStr">
        <is>
          <t>No Override</t>
        </is>
      </c>
      <c r="H14" s="30" t="inlineStr">
        <is>
          <t>STRENGTHS: positive alpha (+0.88%); solid downside protection (DC 93); top-tier Sharpe (0.37). Quality mid-cap. Selection alpha is the edge.</t>
        </is>
      </c>
      <c r="I14" s="8" t="inlineStr">
        <is>
          <t>Regime change risk</t>
        </is>
      </c>
      <c r="J14" s="11" t="inlineStr">
        <is>
          <t>No flags</t>
        </is>
      </c>
      <c r="K14" s="8" t="inlineStr">
        <is>
          <t>Mar 2026</t>
        </is>
      </c>
    </row>
    <row r="15" ht="55" customHeight="1">
      <c r="A15" s="14" t="n">
        <v>11</v>
      </c>
      <c r="B15" s="16" t="inlineStr">
        <is>
          <t>Edelweiss Flexi Cap Fund</t>
        </is>
      </c>
      <c r="C15" s="14" t="inlineStr">
        <is>
          <t>Flexi Cap</t>
        </is>
      </c>
      <c r="D15" s="14" t="n">
        <v>73</v>
      </c>
      <c r="E15" s="17" t="inlineStr">
        <is>
          <t>Buy</t>
        </is>
      </c>
      <c r="F15" s="14" t="inlineStr">
        <is>
          <t>Moderate-High</t>
        </is>
      </c>
      <c r="G15" s="14" t="inlineStr">
        <is>
          <t>No Override</t>
        </is>
      </c>
      <c r="H15" s="29" t="inlineStr">
        <is>
          <t>STRENGTHS: positive alpha (+1.92%); above-avg Sharpe (0.30). CONCERNS: above-index downside (DC 100). Dynamic allocation adds value. Watch for style drift.</t>
        </is>
      </c>
      <c r="I15" s="14" t="inlineStr">
        <is>
          <t>Regime change risk</t>
        </is>
      </c>
      <c r="J15" s="16" t="inlineStr">
        <is>
          <t>No flags</t>
        </is>
      </c>
      <c r="K15" s="14" t="inlineStr">
        <is>
          <t>Mar 2026</t>
        </is>
      </c>
    </row>
    <row r="16" ht="55" customHeight="1">
      <c r="A16" s="8" t="n">
        <v>12</v>
      </c>
      <c r="B16" s="11" t="inlineStr">
        <is>
          <t>ITI Flexi Cap Fund</t>
        </is>
      </c>
      <c r="C16" s="8" t="inlineStr">
        <is>
          <t>Flexi Cap</t>
        </is>
      </c>
      <c r="D16" s="8" t="n">
        <v>71.2</v>
      </c>
      <c r="E16" s="17" t="inlineStr">
        <is>
          <t>Buy</t>
        </is>
      </c>
      <c r="F16" s="8" t="inlineStr">
        <is>
          <t>Moderate-High</t>
        </is>
      </c>
      <c r="G16" s="8" t="inlineStr">
        <is>
          <t>No Override</t>
        </is>
      </c>
      <c r="H16" s="30" t="inlineStr">
        <is>
          <t>STRENGTHS: strong alpha (+4.29%); above-avg Sharpe (0.31); consistent outperformance (IR 0.24). CONCERNS: amplifies drawdowns (DC 111); elevated turnover (138%); high beta (1.12). Dynamic allocation adds value. Watch for style drift.</t>
        </is>
      </c>
      <c r="I16" s="8" t="inlineStr">
        <is>
          <t>Drawdown amplification</t>
        </is>
      </c>
      <c r="J16" s="11" t="inlineStr">
        <is>
          <t>Turnover 138%; Beta 1.12</t>
        </is>
      </c>
      <c r="K16" s="8" t="inlineStr">
        <is>
          <t>Mar 2026</t>
        </is>
      </c>
    </row>
    <row r="17" ht="55" customHeight="1">
      <c r="A17" s="14" t="n">
        <v>13</v>
      </c>
      <c r="B17" s="16" t="inlineStr">
        <is>
          <t>Tata Flexi Cap Fund</t>
        </is>
      </c>
      <c r="C17" s="14" t="inlineStr">
        <is>
          <t>Flexi Cap</t>
        </is>
      </c>
      <c r="D17" s="14" t="n">
        <v>70.7</v>
      </c>
      <c r="E17" s="17" t="inlineStr">
        <is>
          <t>Buy</t>
        </is>
      </c>
      <c r="F17" s="14" t="inlineStr">
        <is>
          <t>Moderate-High</t>
        </is>
      </c>
      <c r="G17" s="14" t="inlineStr">
        <is>
          <t>No Override</t>
        </is>
      </c>
      <c r="H17" s="29" t="inlineStr">
        <is>
          <t>STRENGTHS: excellent downside protection (DC 79); above-avg Sharpe (0.29). CONCERNS: slight alpha erosion (-0.19%). Conservative flexi positioning. Good diversifier.</t>
        </is>
      </c>
      <c r="I17" s="14" t="inlineStr">
        <is>
          <t>Alpha sustainability</t>
        </is>
      </c>
      <c r="J17" s="16" t="inlineStr">
        <is>
          <t>No flags</t>
        </is>
      </c>
      <c r="K17" s="14" t="inlineStr">
        <is>
          <t>Mar 2026</t>
        </is>
      </c>
    </row>
    <row r="18" ht="55" customHeight="1">
      <c r="A18" s="8" t="n">
        <v>14</v>
      </c>
      <c r="B18" s="11" t="inlineStr">
        <is>
          <t>Motilal Oswal Flexi Cap Fund</t>
        </is>
      </c>
      <c r="C18" s="8" t="inlineStr">
        <is>
          <t>Flexi Cap</t>
        </is>
      </c>
      <c r="D18" s="8" t="n">
        <v>69.40000000000001</v>
      </c>
      <c r="E18" s="17" t="inlineStr">
        <is>
          <t>Buy</t>
        </is>
      </c>
      <c r="F18" s="8" t="inlineStr">
        <is>
          <t>Moderate-High</t>
        </is>
      </c>
      <c r="G18" s="8" t="inlineStr">
        <is>
          <t>No Override</t>
        </is>
      </c>
      <c r="H18" s="30" t="inlineStr">
        <is>
          <t>STRENGTHS: strong alpha (+4.59%); above-avg Sharpe (0.29). CONCERNS: above-index downside (DC 109); elevated turnover (137%). Dynamic allocation adds value. Watch for style drift.</t>
        </is>
      </c>
      <c r="I18" s="8" t="inlineStr">
        <is>
          <t>Drawdown amplification</t>
        </is>
      </c>
      <c r="J18" s="11" t="inlineStr">
        <is>
          <t>Recent alpha improvement, sustainability TBD; Turnover 137%; Beta 1.09</t>
        </is>
      </c>
      <c r="K18" s="8" t="inlineStr">
        <is>
          <t>Mar 2026</t>
        </is>
      </c>
    </row>
    <row r="19" ht="55" customHeight="1">
      <c r="A19" s="14" t="n">
        <v>15</v>
      </c>
      <c r="B19" s="16" t="inlineStr">
        <is>
          <t>Sundaram Small Cap Fund</t>
        </is>
      </c>
      <c r="C19" s="14" t="inlineStr">
        <is>
          <t>Small Cap</t>
        </is>
      </c>
      <c r="D19" s="14" t="n">
        <v>69.09999999999999</v>
      </c>
      <c r="E19" s="17" t="inlineStr">
        <is>
          <t>Buy</t>
        </is>
      </c>
      <c r="F19" s="14" t="inlineStr">
        <is>
          <t>Moderate-High</t>
        </is>
      </c>
      <c r="G19" s="14" t="inlineStr">
        <is>
          <t>No Override</t>
        </is>
      </c>
      <c r="H19" s="29" t="inlineStr">
        <is>
          <t>STRENGTHS: excellent downside protection (DC 79); defensive beta (0.82). CONCERNS: negative alpha (-2.90%). Defensive small-cap. Suitable for conservative allocation.</t>
        </is>
      </c>
      <c r="I19" s="14" t="inlineStr">
        <is>
          <t>Alpha sustainability</t>
        </is>
      </c>
      <c r="J19" s="16" t="inlineStr">
        <is>
          <t>No flags</t>
        </is>
      </c>
      <c r="K19" s="14" t="inlineStr">
        <is>
          <t>Mar 2026</t>
        </is>
      </c>
    </row>
    <row r="20" ht="55" customHeight="1">
      <c r="A20" s="8" t="n">
        <v>16</v>
      </c>
      <c r="B20" s="11" t="inlineStr">
        <is>
          <t>Tata Mid Cap Fund</t>
        </is>
      </c>
      <c r="C20" s="8" t="inlineStr">
        <is>
          <t>Mid Cap</t>
        </is>
      </c>
      <c r="D20" s="8" t="n">
        <v>68.2</v>
      </c>
      <c r="E20" s="17" t="inlineStr">
        <is>
          <t>Buy</t>
        </is>
      </c>
      <c r="F20" s="8" t="inlineStr">
        <is>
          <t>Moderate-High</t>
        </is>
      </c>
      <c r="G20" s="8" t="inlineStr">
        <is>
          <t>No Override</t>
        </is>
      </c>
      <c r="H20" s="30" t="inlineStr">
        <is>
          <t>STRENGTHS: solid downside protection (DC 87); top-tier Sharpe (0.34); strong Sortino (0.65). CONCERNS: negative alpha (-2.15%). Quality mid-cap. Selection alpha is the edge.</t>
        </is>
      </c>
      <c r="I20" s="8" t="inlineStr">
        <is>
          <t>Alpha sustainability</t>
        </is>
      </c>
      <c r="J20" s="11" t="inlineStr">
        <is>
          <t>No flags</t>
        </is>
      </c>
      <c r="K20" s="8" t="inlineStr">
        <is>
          <t>Mar 2026</t>
        </is>
      </c>
    </row>
    <row r="21" ht="55" customHeight="1">
      <c r="A21" s="14" t="n">
        <v>17</v>
      </c>
      <c r="B21" s="16" t="inlineStr">
        <is>
          <t>WOC Mid Cap Fund</t>
        </is>
      </c>
      <c r="C21" s="14" t="inlineStr">
        <is>
          <t>Mid Cap</t>
        </is>
      </c>
      <c r="D21" s="14" t="n">
        <v>67.59999999999999</v>
      </c>
      <c r="E21" s="17" t="inlineStr">
        <is>
          <t>Buy</t>
        </is>
      </c>
      <c r="F21" s="14" t="inlineStr">
        <is>
          <t>Moderate-High</t>
        </is>
      </c>
      <c r="G21" s="14" t="inlineStr">
        <is>
          <t>No Override</t>
        </is>
      </c>
      <c r="H21" s="29" t="inlineStr">
        <is>
          <t>STRENGTHS: solid downside protection (DC 93); top-tier Sharpe (0.39); strong Sortino (0.74). CONCERNS: negative alpha (-3.29%); very high turnover (235%). Quality mid-cap. Selection alpha is the edge.</t>
        </is>
      </c>
      <c r="I21" s="14" t="inlineStr">
        <is>
          <t>Turnover cost drag</t>
        </is>
      </c>
      <c r="J21" s="16" t="inlineStr">
        <is>
          <t>Turnover 235%; Beta 1.08</t>
        </is>
      </c>
      <c r="K21" s="14" t="inlineStr">
        <is>
          <t>Mar 2026</t>
        </is>
      </c>
    </row>
    <row r="22" ht="55" customHeight="1">
      <c r="A22" s="8" t="n">
        <v>18</v>
      </c>
      <c r="B22" s="11" t="inlineStr">
        <is>
          <t>HDFC Large Cap Fund</t>
        </is>
      </c>
      <c r="C22" s="8" t="inlineStr">
        <is>
          <t>Large Cap</t>
        </is>
      </c>
      <c r="D22" s="8" t="n">
        <v>67.5</v>
      </c>
      <c r="E22" s="17" t="inlineStr">
        <is>
          <t>Buy</t>
        </is>
      </c>
      <c r="F22" s="8" t="inlineStr">
        <is>
          <t>Moderate-High</t>
        </is>
      </c>
      <c r="G22" s="8" t="inlineStr">
        <is>
          <t>No Override</t>
        </is>
      </c>
      <c r="H22" s="30" t="inlineStr">
        <is>
          <t>STRENGTHS: positive alpha (+0.30%); solid downside protection (DC 88); cost-efficient (1.59%). Quality core holding. Monitor alpha persistence.</t>
        </is>
      </c>
      <c r="I22" s="8" t="inlineStr">
        <is>
          <t>Regime change risk</t>
        </is>
      </c>
      <c r="J22" s="11" t="inlineStr">
        <is>
          <t>AUM capacity concern</t>
        </is>
      </c>
      <c r="K22" s="8" t="inlineStr">
        <is>
          <t>Mar 2026</t>
        </is>
      </c>
    </row>
    <row r="23" ht="55" customHeight="1">
      <c r="A23" s="14" t="n">
        <v>19</v>
      </c>
      <c r="B23" s="16" t="inlineStr">
        <is>
          <t>Nippon India Large Cap Fund</t>
        </is>
      </c>
      <c r="C23" s="14" t="inlineStr">
        <is>
          <t>Large Cap</t>
        </is>
      </c>
      <c r="D23" s="14" t="n">
        <v>66.8</v>
      </c>
      <c r="E23" s="17" t="inlineStr">
        <is>
          <t>Buy</t>
        </is>
      </c>
      <c r="F23" s="14" t="inlineStr">
        <is>
          <t>Moderate-High</t>
        </is>
      </c>
      <c r="G23" s="14" t="inlineStr">
        <is>
          <t>No Override</t>
        </is>
      </c>
      <c r="H23" s="29" t="inlineStr">
        <is>
          <t>STRENGTHS: solid downside protection (DC 86); above-avg Sharpe (0.33); strong Sortino (0.61). CONCERNS: negative alpha (-2.51%). Quality core holding. Monitor alpha persistence.</t>
        </is>
      </c>
      <c r="I23" s="14" t="inlineStr">
        <is>
          <t>Alpha sustainability</t>
        </is>
      </c>
      <c r="J23" s="16" t="inlineStr">
        <is>
          <t>AUM capacity concern</t>
        </is>
      </c>
      <c r="K23" s="14" t="inlineStr">
        <is>
          <t>Mar 2026</t>
        </is>
      </c>
    </row>
    <row r="24" ht="55" customHeight="1">
      <c r="A24" s="8" t="n">
        <v>20</v>
      </c>
      <c r="B24" s="11" t="inlineStr">
        <is>
          <t>Bandhan Large Cap Fund</t>
        </is>
      </c>
      <c r="C24" s="8" t="inlineStr">
        <is>
          <t>Large Cap</t>
        </is>
      </c>
      <c r="D24" s="8" t="n">
        <v>65.8</v>
      </c>
      <c r="E24" s="17" t="inlineStr">
        <is>
          <t>Buy</t>
        </is>
      </c>
      <c r="F24" s="8" t="inlineStr">
        <is>
          <t>Moderate-High</t>
        </is>
      </c>
      <c r="G24" s="8" t="inlineStr">
        <is>
          <t>No Override</t>
        </is>
      </c>
      <c r="H24" s="30" t="inlineStr">
        <is>
          <t>STRENGTHS: strong alpha (+3.41%); above-avg Sharpe (0.28); consistent outperformance (IR 0.28). CONCERNS: above-index downside (DC 105); expensive (2.02%). Quality core holding. Monitor alpha persistence.</t>
        </is>
      </c>
      <c r="I24" s="8" t="inlineStr">
        <is>
          <t>Drawdown amplification</t>
        </is>
      </c>
      <c r="J24" s="11" t="inlineStr">
        <is>
          <t>Beta 1.08</t>
        </is>
      </c>
      <c r="K24" s="8" t="inlineStr">
        <is>
          <t>Mar 2026</t>
        </is>
      </c>
    </row>
    <row r="25" ht="55" customHeight="1">
      <c r="A25" s="14" t="n">
        <v>21</v>
      </c>
      <c r="B25" s="16" t="inlineStr">
        <is>
          <t>Baroda BNP Paribas Mid Cap Fund</t>
        </is>
      </c>
      <c r="C25" s="14" t="inlineStr">
        <is>
          <t>Mid Cap</t>
        </is>
      </c>
      <c r="D25" s="14" t="n">
        <v>65</v>
      </c>
      <c r="E25" s="17" t="inlineStr">
        <is>
          <t>Buy</t>
        </is>
      </c>
      <c r="F25" s="14" t="inlineStr">
        <is>
          <t>Moderate-High</t>
        </is>
      </c>
      <c r="G25" s="14" t="inlineStr">
        <is>
          <t>No Override</t>
        </is>
      </c>
      <c r="H25" s="29" t="inlineStr">
        <is>
          <t>STRENGTHS: excellent downside protection (DC 83); top-tier Sharpe (0.35); strong Sortino (0.64). CONCERNS: negative alpha (-2.27%). Quality mid-cap. Selection alpha is the edge.</t>
        </is>
      </c>
      <c r="I25" s="14" t="inlineStr">
        <is>
          <t>Alpha sustainability</t>
        </is>
      </c>
      <c r="J25" s="16" t="inlineStr">
        <is>
          <t>No flags</t>
        </is>
      </c>
      <c r="K25" s="14" t="inlineStr">
        <is>
          <t>Mar 2026</t>
        </is>
      </c>
    </row>
    <row r="26" ht="55" customHeight="1">
      <c r="A26" s="8" t="n">
        <v>22</v>
      </c>
      <c r="B26" s="11" t="inlineStr">
        <is>
          <t>WOC Flexi Cap Fund</t>
        </is>
      </c>
      <c r="C26" s="8" t="inlineStr">
        <is>
          <t>Flexi Cap</t>
        </is>
      </c>
      <c r="D26" s="8" t="n">
        <v>64.7</v>
      </c>
      <c r="E26" s="18" t="inlineStr">
        <is>
          <t>Hold</t>
        </is>
      </c>
      <c r="F26" s="8" t="inlineStr">
        <is>
          <t>Neutral</t>
        </is>
      </c>
      <c r="G26" s="8" t="inlineStr">
        <is>
          <t>No Override</t>
        </is>
      </c>
      <c r="H26" s="30" t="inlineStr">
        <is>
          <t>STRENGTHS: above-avg Sharpe (0.32); consistent outperformance (IR 0.28); asymmetric capture (+24 spread). CONCERNS: negative alpha (-2.82%); very high turnover (156%). Middle of pack. Monitor for trend change.</t>
        </is>
      </c>
      <c r="I26" s="8" t="inlineStr">
        <is>
          <t>Turnover cost drag</t>
        </is>
      </c>
      <c r="J26" s="11" t="inlineStr">
        <is>
          <t>Turnover 156%</t>
        </is>
      </c>
      <c r="K26" s="8" t="inlineStr">
        <is>
          <t>Mar 2026</t>
        </is>
      </c>
    </row>
    <row r="27" ht="55" customHeight="1">
      <c r="A27" s="14" t="n">
        <v>23</v>
      </c>
      <c r="B27" s="16" t="inlineStr">
        <is>
          <t>Invesco India Smallcap Fund</t>
        </is>
      </c>
      <c r="C27" s="14" t="inlineStr">
        <is>
          <t>Small Cap</t>
        </is>
      </c>
      <c r="D27" s="14" t="n">
        <v>63.6</v>
      </c>
      <c r="E27" s="18" t="inlineStr">
        <is>
          <t>Hold</t>
        </is>
      </c>
      <c r="F27" s="14" t="inlineStr">
        <is>
          <t>Neutral</t>
        </is>
      </c>
      <c r="G27" s="14" t="inlineStr">
        <is>
          <t>No Override</t>
        </is>
      </c>
      <c r="H27" s="29" t="inlineStr">
        <is>
          <t>STRENGTHS: above-avg Sharpe (0.31); consistent outperformance (IR 0.23); asymmetric capture (+32 spread). CONCERNS: negative alpha (-4.62%); amplifies drawdowns (DC 114); high beta (1.12). Middle of pack. Monitor for trend change.</t>
        </is>
      </c>
      <c r="I27" s="14" t="inlineStr">
        <is>
          <t>Drawdown amplification</t>
        </is>
      </c>
      <c r="J27" s="16" t="inlineStr">
        <is>
          <t>Beta 1.12</t>
        </is>
      </c>
      <c r="K27" s="14" t="inlineStr">
        <is>
          <t>Mar 2026</t>
        </is>
      </c>
    </row>
    <row r="28" ht="55" customHeight="1">
      <c r="A28" s="8" t="n">
        <v>24</v>
      </c>
      <c r="B28" s="11" t="inlineStr">
        <is>
          <t>Mirae Asset Flexi Cap Fund</t>
        </is>
      </c>
      <c r="C28" s="8" t="inlineStr">
        <is>
          <t>Flexi Cap</t>
        </is>
      </c>
      <c r="D28" s="8" t="n">
        <v>63.1</v>
      </c>
      <c r="E28" s="18" t="inlineStr">
        <is>
          <t>Hold</t>
        </is>
      </c>
      <c r="F28" s="8" t="inlineStr">
        <is>
          <t>Neutral</t>
        </is>
      </c>
      <c r="G28" s="8" t="inlineStr">
        <is>
          <t>No Override</t>
        </is>
      </c>
      <c r="H28" s="30" t="inlineStr">
        <is>
          <t>STRENGTHS: solid downside protection (DC 94); above-avg Sharpe (0.28). CONCERNS: slight alpha erosion (-0.17%). Middle of pack. Monitor for trend change.</t>
        </is>
      </c>
      <c r="I28" s="8" t="inlineStr">
        <is>
          <t>Alpha sustainability</t>
        </is>
      </c>
      <c r="J28" s="11" t="inlineStr">
        <is>
          <t>No flags</t>
        </is>
      </c>
      <c r="K28" s="8" t="inlineStr">
        <is>
          <t>Mar 2026</t>
        </is>
      </c>
    </row>
    <row r="29" ht="55" customHeight="1">
      <c r="A29" s="14" t="n">
        <v>25</v>
      </c>
      <c r="B29" s="16" t="inlineStr">
        <is>
          <t>Bank of India Flexi Cap Fund</t>
        </is>
      </c>
      <c r="C29" s="14" t="inlineStr">
        <is>
          <t>Flexi Cap</t>
        </is>
      </c>
      <c r="D29" s="14" t="n">
        <v>62.9</v>
      </c>
      <c r="E29" s="18" t="inlineStr">
        <is>
          <t>Hold</t>
        </is>
      </c>
      <c r="F29" s="14" t="inlineStr">
        <is>
          <t>Neutral</t>
        </is>
      </c>
      <c r="G29" s="14" t="inlineStr">
        <is>
          <t>No Override</t>
        </is>
      </c>
      <c r="H29" s="29" t="inlineStr">
        <is>
          <t>STRENGTHS: positive alpha (+0.80%); above-avg Sharpe (0.31); consistent outperformance (IR 0.23). CONCERNS: amplifies drawdowns (DC 111); high beta (1.10). Middle of pack. Monitor for trend change.</t>
        </is>
      </c>
      <c r="I29" s="14" t="inlineStr">
        <is>
          <t>Drawdown amplification</t>
        </is>
      </c>
      <c r="J29" s="16" t="inlineStr">
        <is>
          <t>Recent alpha improvement, sustainability TBD; Beta 1.10</t>
        </is>
      </c>
      <c r="K29" s="14" t="inlineStr">
        <is>
          <t>Mar 2026</t>
        </is>
      </c>
    </row>
    <row r="30" ht="55" customHeight="1">
      <c r="A30" s="8" t="n">
        <v>26</v>
      </c>
      <c r="B30" s="11" t="inlineStr">
        <is>
          <t>Baroda BNP Paribas Large Cap Fund</t>
        </is>
      </c>
      <c r="C30" s="8" t="inlineStr">
        <is>
          <t>Large Cap</t>
        </is>
      </c>
      <c r="D30" s="8" t="n">
        <v>62.8</v>
      </c>
      <c r="E30" s="18" t="inlineStr">
        <is>
          <t>Hold</t>
        </is>
      </c>
      <c r="F30" s="8" t="inlineStr">
        <is>
          <t>Neutral</t>
        </is>
      </c>
      <c r="G30" s="8" t="inlineStr">
        <is>
          <t>No Override</t>
        </is>
      </c>
      <c r="H30" s="30" t="inlineStr">
        <is>
          <t>STRENGTHS: positive alpha (+1.04%). Middle of pack. Monitor for trend change.</t>
        </is>
      </c>
      <c r="I30" s="8" t="inlineStr">
        <is>
          <t>Regime change risk</t>
        </is>
      </c>
      <c r="J30" s="11" t="inlineStr">
        <is>
          <t>No flags</t>
        </is>
      </c>
      <c r="K30" s="8" t="inlineStr">
        <is>
          <t>Mar 2026</t>
        </is>
      </c>
    </row>
    <row r="31" ht="55" customHeight="1">
      <c r="A31" s="14" t="n">
        <v>27</v>
      </c>
      <c r="B31" s="16" t="inlineStr">
        <is>
          <t>Bank of India Small Cap Fund</t>
        </is>
      </c>
      <c r="C31" s="14" t="inlineStr">
        <is>
          <t>Small Cap</t>
        </is>
      </c>
      <c r="D31" s="14" t="n">
        <v>59.5</v>
      </c>
      <c r="E31" s="18" t="inlineStr">
        <is>
          <t>Hold</t>
        </is>
      </c>
      <c r="F31" s="14" t="inlineStr">
        <is>
          <t>Neutral</t>
        </is>
      </c>
      <c r="G31" s="14" t="inlineStr">
        <is>
          <t>No Override</t>
        </is>
      </c>
      <c r="H31" s="29" t="inlineStr">
        <is>
          <t>STRENGTHS: solid downside protection (DC 87). CONCERNS: slight alpha erosion (-1.79%). Middle of pack. Monitor for trend change.</t>
        </is>
      </c>
      <c r="I31" s="14" t="inlineStr">
        <is>
          <t>Alpha sustainability</t>
        </is>
      </c>
      <c r="J31" s="16" t="inlineStr">
        <is>
          <t>No flags</t>
        </is>
      </c>
      <c r="K31" s="14" t="inlineStr">
        <is>
          <t>Mar 2026</t>
        </is>
      </c>
    </row>
    <row r="32" ht="55" customHeight="1">
      <c r="A32" s="8" t="n">
        <v>28</v>
      </c>
      <c r="B32" s="11" t="inlineStr">
        <is>
          <t>Mahindra Manulife Small Cap Fund</t>
        </is>
      </c>
      <c r="C32" s="8" t="inlineStr">
        <is>
          <t>Small Cap</t>
        </is>
      </c>
      <c r="D32" s="8" t="n">
        <v>56.2</v>
      </c>
      <c r="E32" s="18" t="inlineStr">
        <is>
          <t>Hold</t>
        </is>
      </c>
      <c r="F32" s="8" t="inlineStr">
        <is>
          <t>Neutral</t>
        </is>
      </c>
      <c r="G32" s="8" t="inlineStr">
        <is>
          <t>No Override</t>
        </is>
      </c>
      <c r="H32" s="30" t="inlineStr">
        <is>
          <t>STRENGTHS: above-avg Sharpe (0.31); consistent outperformance (IR 0.23); asymmetric capture (+30 spread). CONCERNS: negative alpha (-4.96%); amplifies drawdowns (DC 116); elevated turnover (102%). Middle of pack. Monitor for trend change.</t>
        </is>
      </c>
      <c r="I32" s="8" t="inlineStr">
        <is>
          <t>Drawdown amplification</t>
        </is>
      </c>
      <c r="J32" s="11" t="inlineStr">
        <is>
          <t>Turnover 102%; Beta 1.12</t>
        </is>
      </c>
      <c r="K32" s="8" t="inlineStr">
        <is>
          <t>Mar 2026</t>
        </is>
      </c>
    </row>
    <row r="33" ht="55" customHeight="1">
      <c r="A33" s="14" t="n">
        <v>29</v>
      </c>
      <c r="B33" s="16" t="inlineStr">
        <is>
          <t>HSBC Midcap Fund</t>
        </is>
      </c>
      <c r="C33" s="14" t="inlineStr">
        <is>
          <t>Mid Cap</t>
        </is>
      </c>
      <c r="D33" s="14" t="n">
        <v>56.1</v>
      </c>
      <c r="E33" s="18" t="inlineStr">
        <is>
          <t>Hold</t>
        </is>
      </c>
      <c r="F33" s="14" t="inlineStr">
        <is>
          <t>Neutral</t>
        </is>
      </c>
      <c r="G33" s="14" t="inlineStr">
        <is>
          <t>No Override</t>
        </is>
      </c>
      <c r="H33" s="29" t="inlineStr">
        <is>
          <t>STRENGTHS: positive alpha (+1.08%); top-tier Sharpe (0.33). CONCERNS: above-index downside (DC 104). Middle of pack. Monitor for trend change.</t>
        </is>
      </c>
      <c r="I33" s="14" t="inlineStr">
        <is>
          <t>Regime change risk</t>
        </is>
      </c>
      <c r="J33" s="16" t="inlineStr">
        <is>
          <t>Recent alpha improvement, sustainability TBD</t>
        </is>
      </c>
      <c r="K33" s="14" t="inlineStr">
        <is>
          <t>Mar 2026</t>
        </is>
      </c>
    </row>
    <row r="34" ht="55" customHeight="1">
      <c r="A34" s="8" t="n">
        <v>30</v>
      </c>
      <c r="B34" s="11" t="inlineStr">
        <is>
          <t>Kotak Large Cap Fund(IDCW)</t>
        </is>
      </c>
      <c r="C34" s="8" t="inlineStr">
        <is>
          <t>Large Cap</t>
        </is>
      </c>
      <c r="D34" s="8" t="n">
        <v>56.1</v>
      </c>
      <c r="E34" s="18" t="inlineStr">
        <is>
          <t>Hold</t>
        </is>
      </c>
      <c r="F34" s="8" t="inlineStr">
        <is>
          <t>Neutral</t>
        </is>
      </c>
      <c r="G34" s="8" t="inlineStr">
        <is>
          <t>No Override</t>
        </is>
      </c>
      <c r="H34" s="30" t="inlineStr">
        <is>
          <t>STRENGTHS: positive alpha (+0.32%). Middle of pack. Monitor for trend change.</t>
        </is>
      </c>
      <c r="I34" s="8" t="inlineStr">
        <is>
          <t>Regime change risk</t>
        </is>
      </c>
      <c r="J34" s="11" t="inlineStr">
        <is>
          <t>No flags</t>
        </is>
      </c>
      <c r="K34" s="8" t="inlineStr">
        <is>
          <t>Mar 2026</t>
        </is>
      </c>
    </row>
    <row r="35" ht="55" customHeight="1">
      <c r="A35" s="14" t="n">
        <v>31</v>
      </c>
      <c r="B35" s="16" t="inlineStr">
        <is>
          <t>HSBC Flexi Cap Fund</t>
        </is>
      </c>
      <c r="C35" s="14" t="inlineStr">
        <is>
          <t>Flexi Cap</t>
        </is>
      </c>
      <c r="D35" s="14" t="n">
        <v>55.8</v>
      </c>
      <c r="E35" s="18" t="inlineStr">
        <is>
          <t>Hold</t>
        </is>
      </c>
      <c r="F35" s="14" t="inlineStr">
        <is>
          <t>Neutral</t>
        </is>
      </c>
      <c r="G35" s="14" t="inlineStr">
        <is>
          <t>No Override</t>
        </is>
      </c>
      <c r="H35" s="29" t="inlineStr">
        <is>
          <t>STRENGTHS: positive alpha (+1.58%); above-avg Sharpe (0.28). CONCERNS: amplifies drawdowns (DC 111). Middle of pack. Monitor for trend change.</t>
        </is>
      </c>
      <c r="I35" s="14" t="inlineStr">
        <is>
          <t>Drawdown amplification</t>
        </is>
      </c>
      <c r="J35" s="16" t="inlineStr">
        <is>
          <t>Beta 1.08</t>
        </is>
      </c>
      <c r="K35" s="14" t="inlineStr">
        <is>
          <t>Mar 2026</t>
        </is>
      </c>
    </row>
    <row r="36" ht="55" customHeight="1">
      <c r="A36" s="8" t="n">
        <v>32</v>
      </c>
      <c r="B36" s="11" t="inlineStr">
        <is>
          <t>ICICI Pru Flexicap Fund</t>
        </is>
      </c>
      <c r="C36" s="8" t="inlineStr">
        <is>
          <t>Flexi Cap</t>
        </is>
      </c>
      <c r="D36" s="8" t="n">
        <v>55.7</v>
      </c>
      <c r="E36" s="18" t="inlineStr">
        <is>
          <t>Hold</t>
        </is>
      </c>
      <c r="F36" s="8" t="inlineStr">
        <is>
          <t>Neutral</t>
        </is>
      </c>
      <c r="G36" s="8" t="inlineStr">
        <is>
          <t>No Override</t>
        </is>
      </c>
      <c r="H36" s="30" t="inlineStr">
        <is>
          <t>STRENGTHS: above-avg Sharpe (0.31); consistent outperformance (IR 0.25); asymmetric capture (+20 spread). CONCERNS: negative alpha (-3.50%); above-index downside (DC 101). Middle of pack. Monitor for trend change.</t>
        </is>
      </c>
      <c r="I36" s="8" t="inlineStr">
        <is>
          <t>Alpha sustainability</t>
        </is>
      </c>
      <c r="J36" s="11" t="inlineStr">
        <is>
          <t>No flags</t>
        </is>
      </c>
      <c r="K36" s="8" t="inlineStr">
        <is>
          <t>Mar 2026</t>
        </is>
      </c>
    </row>
    <row r="37" ht="55" customHeight="1">
      <c r="A37" s="14" t="n">
        <v>33</v>
      </c>
      <c r="B37" s="16" t="inlineStr">
        <is>
          <t>ICICI Pru Smallcap Fund</t>
        </is>
      </c>
      <c r="C37" s="14" t="inlineStr">
        <is>
          <t>Small Cap</t>
        </is>
      </c>
      <c r="D37" s="14" t="n">
        <v>55.3</v>
      </c>
      <c r="E37" s="18" t="inlineStr">
        <is>
          <t>Hold</t>
        </is>
      </c>
      <c r="F37" s="14" t="inlineStr">
        <is>
          <t>Neutral</t>
        </is>
      </c>
      <c r="G37" s="14" t="inlineStr">
        <is>
          <t>No Override</t>
        </is>
      </c>
      <c r="H37" s="29" t="inlineStr">
        <is>
          <t>STRENGTHS: excellent downside protection (DC 72); defensive beta (0.74). CONCERNS: deep underperformance (-6.46%); persistent underperformance (IR -0.21). Middle of pack. Monitor for trend change.</t>
        </is>
      </c>
      <c r="I37" s="14" t="inlineStr">
        <is>
          <t>Persistent benchmark lag</t>
        </is>
      </c>
      <c r="J37" s="16" t="inlineStr">
        <is>
          <t>No flags</t>
        </is>
      </c>
      <c r="K37" s="14" t="inlineStr">
        <is>
          <t>Mar 2026</t>
        </is>
      </c>
    </row>
    <row r="38" ht="55" customHeight="1">
      <c r="A38" s="8" t="n">
        <v>34</v>
      </c>
      <c r="B38" s="11" t="inlineStr">
        <is>
          <t>DSP Flexi Cap Fund-Reg(IDCW)</t>
        </is>
      </c>
      <c r="C38" s="8" t="inlineStr">
        <is>
          <t>Flexi Cap</t>
        </is>
      </c>
      <c r="D38" s="8" t="n">
        <v>55.1</v>
      </c>
      <c r="E38" s="18" t="inlineStr">
        <is>
          <t>Hold</t>
        </is>
      </c>
      <c r="F38" s="8" t="inlineStr">
        <is>
          <t>Neutral</t>
        </is>
      </c>
      <c r="G38" s="8" t="inlineStr">
        <is>
          <t>No Override</t>
        </is>
      </c>
      <c r="H38" s="30" t="inlineStr">
        <is>
          <t>STRENGTHS: positive alpha (+0.19%). CONCERNS: above-index downside (DC 101). Middle of pack. Monitor for trend change.</t>
        </is>
      </c>
      <c r="I38" s="8" t="inlineStr">
        <is>
          <t>Regime change risk</t>
        </is>
      </c>
      <c r="J38" s="11" t="inlineStr">
        <is>
          <t>Recent alpha improvement, sustainability TBD</t>
        </is>
      </c>
      <c r="K38" s="8" t="inlineStr">
        <is>
          <t>Mar 2026</t>
        </is>
      </c>
    </row>
    <row r="39" ht="55" customHeight="1">
      <c r="A39" s="14" t="n">
        <v>35</v>
      </c>
      <c r="B39" s="16" t="inlineStr">
        <is>
          <t>ITI Mid Cap Fund</t>
        </is>
      </c>
      <c r="C39" s="14" t="inlineStr">
        <is>
          <t>Mid Cap</t>
        </is>
      </c>
      <c r="D39" s="14" t="n">
        <v>53.9</v>
      </c>
      <c r="E39" s="18" t="inlineStr">
        <is>
          <t>Hold</t>
        </is>
      </c>
      <c r="F39" s="14" t="inlineStr">
        <is>
          <t>Neutral</t>
        </is>
      </c>
      <c r="G39" s="14" t="inlineStr">
        <is>
          <t>No Override</t>
        </is>
      </c>
      <c r="H39" s="29" t="inlineStr">
        <is>
          <t>STRENGTHS: top-tier Sharpe (0.34); strong Sortino (0.63). CONCERNS: slight alpha erosion (-0.00%); elevated turnover (127%); small AUM (1,325Cr). Middle of pack. Monitor for trend change.</t>
        </is>
      </c>
      <c r="I39" s="14" t="inlineStr">
        <is>
          <t>AUM/liquidity</t>
        </is>
      </c>
      <c r="J39" s="16" t="inlineStr">
        <is>
          <t>Turnover 127%</t>
        </is>
      </c>
      <c r="K39" s="14" t="inlineStr">
        <is>
          <t>Mar 2026</t>
        </is>
      </c>
    </row>
    <row r="40" ht="55" customHeight="1">
      <c r="A40" s="8" t="n">
        <v>36</v>
      </c>
      <c r="B40" s="11" t="inlineStr">
        <is>
          <t>Franklin India Small Cap Fund</t>
        </is>
      </c>
      <c r="C40" s="8" t="inlineStr">
        <is>
          <t>Small Cap</t>
        </is>
      </c>
      <c r="D40" s="8" t="n">
        <v>53.2</v>
      </c>
      <c r="E40" s="18" t="inlineStr">
        <is>
          <t>Hold</t>
        </is>
      </c>
      <c r="F40" s="8" t="inlineStr">
        <is>
          <t>Neutral</t>
        </is>
      </c>
      <c r="G40" s="8" t="inlineStr">
        <is>
          <t>No Override</t>
        </is>
      </c>
      <c r="H40" s="30" t="inlineStr">
        <is>
          <t>STRENGTHS: solid downside protection (DC 86). CONCERNS: negative alpha (-3.74%). Middle of pack. Monitor for trend change.</t>
        </is>
      </c>
      <c r="I40" s="8" t="inlineStr">
        <is>
          <t>Alpha sustainability</t>
        </is>
      </c>
      <c r="J40" s="11" t="inlineStr">
        <is>
          <t>No flags</t>
        </is>
      </c>
      <c r="K40" s="8" t="inlineStr">
        <is>
          <t>Mar 2026</t>
        </is>
      </c>
    </row>
    <row r="41" ht="55" customHeight="1">
      <c r="A41" s="14" t="n">
        <v>37</v>
      </c>
      <c r="B41" s="16" t="inlineStr">
        <is>
          <t>Invesco India Midcap Fund</t>
        </is>
      </c>
      <c r="C41" s="14" t="inlineStr">
        <is>
          <t>Mid Cap</t>
        </is>
      </c>
      <c r="D41" s="14" t="n">
        <v>52.8</v>
      </c>
      <c r="E41" s="18" t="inlineStr">
        <is>
          <t>Hold</t>
        </is>
      </c>
      <c r="F41" s="14" t="inlineStr">
        <is>
          <t>Neutral</t>
        </is>
      </c>
      <c r="G41" s="14" t="inlineStr">
        <is>
          <t>No Override</t>
        </is>
      </c>
      <c r="H41" s="29" t="inlineStr">
        <is>
          <t>STRENGTHS: top-tier Sharpe (0.36); strong Sortino (0.66); consistent outperformance (IR 0.33). CONCERNS: negative alpha (-3.33%); above-index downside (DC 110); high beta (1.17). Middle of pack. Monitor for trend change.</t>
        </is>
      </c>
      <c r="I41" s="14" t="inlineStr">
        <is>
          <t>Drawdown amplification</t>
        </is>
      </c>
      <c r="J41" s="16" t="inlineStr">
        <is>
          <t>Beta 1.17</t>
        </is>
      </c>
      <c r="K41" s="14" t="inlineStr">
        <is>
          <t>Mar 2026</t>
        </is>
      </c>
    </row>
    <row r="42" ht="55" customHeight="1">
      <c r="A42" s="8" t="n">
        <v>38</v>
      </c>
      <c r="B42" s="11" t="inlineStr">
        <is>
          <t>Franklin India Mid Cap Fund</t>
        </is>
      </c>
      <c r="C42" s="8" t="inlineStr">
        <is>
          <t>Mid Cap</t>
        </is>
      </c>
      <c r="D42" s="8" t="n">
        <v>52.2</v>
      </c>
      <c r="E42" s="18" t="inlineStr">
        <is>
          <t>Hold</t>
        </is>
      </c>
      <c r="F42" s="8" t="inlineStr">
        <is>
          <t>Neutral</t>
        </is>
      </c>
      <c r="G42" s="8" t="inlineStr">
        <is>
          <t>No Override</t>
        </is>
      </c>
      <c r="H42" s="30" t="inlineStr">
        <is>
          <t>STRENGTHS: solid downside protection (DC 93); above-avg Sharpe (0.32). CONCERNS: negative alpha (-2.86%). Middle of pack. Monitor for trend change.</t>
        </is>
      </c>
      <c r="I42" s="8" t="inlineStr">
        <is>
          <t>Alpha sustainability</t>
        </is>
      </c>
      <c r="J42" s="11" t="inlineStr">
        <is>
          <t>No flags</t>
        </is>
      </c>
      <c r="K42" s="8" t="inlineStr">
        <is>
          <t>Mar 2026</t>
        </is>
      </c>
    </row>
    <row r="43" ht="55" customHeight="1">
      <c r="A43" s="14" t="n">
        <v>39</v>
      </c>
      <c r="B43" s="16" t="inlineStr">
        <is>
          <t>JM Midcap Fund</t>
        </is>
      </c>
      <c r="C43" s="14" t="inlineStr">
        <is>
          <t>Mid Cap</t>
        </is>
      </c>
      <c r="D43" s="14" t="n">
        <v>49.8</v>
      </c>
      <c r="E43" s="19" t="inlineStr">
        <is>
          <t>Underweight</t>
        </is>
      </c>
      <c r="F43" s="14" t="inlineStr">
        <is>
          <t>Low</t>
        </is>
      </c>
      <c r="G43" s="14" t="inlineStr">
        <is>
          <t>No Override</t>
        </is>
      </c>
      <c r="H43" s="29" t="inlineStr">
        <is>
          <t>STRENGTHS: above-avg Sharpe (0.32); strong Sortino (0.62). CONCERNS: slight alpha erosion (-1.03%); above-index downside (DC 100); elevated turnover (117%). Below-average. Better alternatives exist. Reduce on strength.</t>
        </is>
      </c>
      <c r="I43" s="14" t="inlineStr">
        <is>
          <t>Cost headwind</t>
        </is>
      </c>
      <c r="J43" s="16" t="inlineStr">
        <is>
          <t>Turnover 117%</t>
        </is>
      </c>
      <c r="K43" s="14" t="inlineStr">
        <is>
          <t>Mar 2026</t>
        </is>
      </c>
    </row>
    <row r="44" ht="55" customHeight="1">
      <c r="A44" s="8" t="n">
        <v>40</v>
      </c>
      <c r="B44" s="11" t="inlineStr">
        <is>
          <t>Bandhan Flexi Cap Fund</t>
        </is>
      </c>
      <c r="C44" s="8" t="inlineStr">
        <is>
          <t>Flexi Cap</t>
        </is>
      </c>
      <c r="D44" s="8" t="n">
        <v>47.7</v>
      </c>
      <c r="E44" s="19" t="inlineStr">
        <is>
          <t>Underweight</t>
        </is>
      </c>
      <c r="F44" s="8" t="inlineStr">
        <is>
          <t>Low</t>
        </is>
      </c>
      <c r="G44" s="8" t="inlineStr">
        <is>
          <t>No Override</t>
        </is>
      </c>
      <c r="H44" s="30" t="inlineStr">
        <is>
          <t>STRENGTHS: solid downside protection (DC 94); above-avg Sharpe (0.28). CONCERNS: deep underperformance (-5.86%); elevated turnover (121%). Below-average. Better alternatives exist. Reduce on strength.</t>
        </is>
      </c>
      <c r="I44" s="8" t="inlineStr">
        <is>
          <t>Persistent benchmark lag</t>
        </is>
      </c>
      <c r="J44" s="11" t="inlineStr">
        <is>
          <t>Turnover 121%</t>
        </is>
      </c>
      <c r="K44" s="8" t="inlineStr">
        <is>
          <t>Mar 2026</t>
        </is>
      </c>
    </row>
    <row r="45" ht="55" customHeight="1">
      <c r="A45" s="14" t="n">
        <v>41</v>
      </c>
      <c r="B45" s="16" t="inlineStr">
        <is>
          <t>JM Flexicap Fund</t>
        </is>
      </c>
      <c r="C45" s="14" t="inlineStr">
        <is>
          <t>Flexi Cap</t>
        </is>
      </c>
      <c r="D45" s="14" t="n">
        <v>47.4</v>
      </c>
      <c r="E45" s="19" t="inlineStr">
        <is>
          <t>Underweight</t>
        </is>
      </c>
      <c r="F45" s="14" t="inlineStr">
        <is>
          <t>Low</t>
        </is>
      </c>
      <c r="G45" s="14" t="inlineStr">
        <is>
          <t>No Override</t>
        </is>
      </c>
      <c r="H45" s="29" t="inlineStr">
        <is>
          <t>STRENGTHS: above-avg Sharpe (0.28); asymmetric capture (+18 spread). CONCERNS: negative alpha (-2.86%); above-index downside (DC 108); very high turnover (171%). Below-average. Better alternatives exist. Reduce on strength.</t>
        </is>
      </c>
      <c r="I45" s="14" t="inlineStr">
        <is>
          <t>Drawdown amplification</t>
        </is>
      </c>
      <c r="J45" s="16" t="inlineStr">
        <is>
          <t>Turnover 171%; Beta 1.08</t>
        </is>
      </c>
      <c r="K45" s="14" t="inlineStr">
        <is>
          <t>Mar 2026</t>
        </is>
      </c>
    </row>
    <row r="46" ht="55" customHeight="1">
      <c r="A46" s="8" t="n">
        <v>42</v>
      </c>
      <c r="B46" s="11" t="inlineStr">
        <is>
          <t>SBI Large Cap Fund</t>
        </is>
      </c>
      <c r="C46" s="8" t="inlineStr">
        <is>
          <t>Large Cap</t>
        </is>
      </c>
      <c r="D46" s="8" t="n">
        <v>46.4</v>
      </c>
      <c r="E46" s="19" t="inlineStr">
        <is>
          <t>Underweight</t>
        </is>
      </c>
      <c r="F46" s="8" t="inlineStr">
        <is>
          <t>Low</t>
        </is>
      </c>
      <c r="G46" s="8" t="inlineStr">
        <is>
          <t>No Override</t>
        </is>
      </c>
      <c r="H46" s="30" t="inlineStr">
        <is>
          <t>STRENGTHS: solid downside protection (DC 85); cost-efficient (1.47%). CONCERNS: deep underperformance (-6.75%). Below-average. Better alternatives exist. Reduce on strength.</t>
        </is>
      </c>
      <c r="I46" s="8" t="inlineStr">
        <is>
          <t>Persistent benchmark lag</t>
        </is>
      </c>
      <c r="J46" s="11" t="inlineStr">
        <is>
          <t>AUM capacity concern</t>
        </is>
      </c>
      <c r="K46" s="8" t="inlineStr">
        <is>
          <t>Mar 2026</t>
        </is>
      </c>
    </row>
    <row r="47" ht="55" customHeight="1">
      <c r="A47" s="14" t="n">
        <v>43</v>
      </c>
      <c r="B47" s="16" t="inlineStr">
        <is>
          <t>Franklin India Large Cap Fund</t>
        </is>
      </c>
      <c r="C47" s="14" t="inlineStr">
        <is>
          <t>Large Cap</t>
        </is>
      </c>
      <c r="D47" s="14" t="n">
        <v>45.2</v>
      </c>
      <c r="E47" s="19" t="inlineStr">
        <is>
          <t>Underweight</t>
        </is>
      </c>
      <c r="F47" s="14" t="inlineStr">
        <is>
          <t>Low</t>
        </is>
      </c>
      <c r="G47" s="14" t="inlineStr">
        <is>
          <t>No Override</t>
        </is>
      </c>
      <c r="H47" s="29" t="inlineStr">
        <is>
          <t>STRENGTHS: solid downside protection (DC 94). CONCERNS: slight alpha erosion (-0.01%). Below-average. Better alternatives exist. Reduce on strength.</t>
        </is>
      </c>
      <c r="I47" s="14" t="inlineStr">
        <is>
          <t>Alpha sustainability</t>
        </is>
      </c>
      <c r="J47" s="16" t="inlineStr">
        <is>
          <t>No flags</t>
        </is>
      </c>
      <c r="K47" s="14" t="inlineStr">
        <is>
          <t>Mar 2026</t>
        </is>
      </c>
    </row>
    <row r="48" ht="55" customHeight="1">
      <c r="A48" s="8" t="n">
        <v>44</v>
      </c>
      <c r="B48" s="11" t="inlineStr">
        <is>
          <t>Union Small Cap Fund</t>
        </is>
      </c>
      <c r="C48" s="8" t="inlineStr">
        <is>
          <t>Small Cap</t>
        </is>
      </c>
      <c r="D48" s="8" t="n">
        <v>44.9</v>
      </c>
      <c r="E48" s="19" t="inlineStr">
        <is>
          <t>Underweight</t>
        </is>
      </c>
      <c r="F48" s="8" t="inlineStr">
        <is>
          <t>Low</t>
        </is>
      </c>
      <c r="G48" s="8" t="inlineStr">
        <is>
          <t>No Override</t>
        </is>
      </c>
      <c r="H48" s="30" t="inlineStr">
        <is>
          <t>STRENGTHS: excellent downside protection (DC 81). CONCERNS: deep underperformance (-7.81%); expensive (2.10%). Below-average. Better alternatives exist. Reduce on strength.</t>
        </is>
      </c>
      <c r="I48" s="8" t="inlineStr">
        <is>
          <t>Persistent benchmark lag</t>
        </is>
      </c>
      <c r="J48" s="11" t="inlineStr">
        <is>
          <t>No flags</t>
        </is>
      </c>
      <c r="K48" s="8" t="inlineStr">
        <is>
          <t>Mar 2026</t>
        </is>
      </c>
    </row>
    <row r="49" ht="55" customHeight="1">
      <c r="A49" s="14" t="n">
        <v>45</v>
      </c>
      <c r="B49" s="16" t="inlineStr">
        <is>
          <t>Invesco India Flexi Cap Fund</t>
        </is>
      </c>
      <c r="C49" s="14" t="inlineStr">
        <is>
          <t>Flexi Cap</t>
        </is>
      </c>
      <c r="D49" s="14" t="n">
        <v>44.9</v>
      </c>
      <c r="E49" s="19" t="inlineStr">
        <is>
          <t>Underweight</t>
        </is>
      </c>
      <c r="F49" s="14" t="inlineStr">
        <is>
          <t>Low</t>
        </is>
      </c>
      <c r="G49" s="14" t="inlineStr">
        <is>
          <t>No Override</t>
        </is>
      </c>
      <c r="H49" s="29" t="inlineStr">
        <is>
          <t>STRENGTHS: above-avg Sharpe (0.28); consistent outperformance (IR 0.20); asymmetric capture (+16 spread). CONCERNS: negative alpha (-2.75%); amplifies drawdowns (DC 112); high beta (1.11). Below-average. Better alternatives exist. Reduce on strength.</t>
        </is>
      </c>
      <c r="I49" s="14" t="inlineStr">
        <is>
          <t>Drawdown amplification</t>
        </is>
      </c>
      <c r="J49" s="16" t="inlineStr">
        <is>
          <t>Beta 1.11</t>
        </is>
      </c>
      <c r="K49" s="14" t="inlineStr">
        <is>
          <t>Mar 2026</t>
        </is>
      </c>
    </row>
    <row r="50" ht="55" customHeight="1">
      <c r="A50" s="8" t="n">
        <v>46</v>
      </c>
      <c r="B50" s="11" t="inlineStr">
        <is>
          <t>Quant Flexi Cap Fund</t>
        </is>
      </c>
      <c r="C50" s="8" t="inlineStr">
        <is>
          <t>Flexi Cap</t>
        </is>
      </c>
      <c r="D50" s="8" t="n">
        <v>44</v>
      </c>
      <c r="E50" s="19" t="inlineStr">
        <is>
          <t>Underweight</t>
        </is>
      </c>
      <c r="F50" s="8" t="inlineStr">
        <is>
          <t>Low</t>
        </is>
      </c>
      <c r="G50" s="8" t="inlineStr">
        <is>
          <t>No Override</t>
        </is>
      </c>
      <c r="H50" s="30" t="inlineStr">
        <is>
          <t>STRENGTHS: positive alpha (+1.22%). CONCERNS: amplifies drawdowns (DC 123); very high turnover (283%). Below-average. Better alternatives exist. Reduce on strength.</t>
        </is>
      </c>
      <c r="I50" s="8" t="inlineStr">
        <is>
          <t>Drawdown amplification</t>
        </is>
      </c>
      <c r="J50" s="11" t="inlineStr">
        <is>
          <t>Turnover 283%; Beta 1.09</t>
        </is>
      </c>
      <c r="K50" s="8" t="inlineStr">
        <is>
          <t>Mar 2026</t>
        </is>
      </c>
    </row>
    <row r="51" ht="55" customHeight="1">
      <c r="A51" s="14" t="n">
        <v>47</v>
      </c>
      <c r="B51" s="16" t="inlineStr">
        <is>
          <t>Mahindra Manulife Flexi Cap Fund</t>
        </is>
      </c>
      <c r="C51" s="14" t="inlineStr">
        <is>
          <t>Flexi Cap</t>
        </is>
      </c>
      <c r="D51" s="14" t="n">
        <v>43.6</v>
      </c>
      <c r="E51" s="19" t="inlineStr">
        <is>
          <t>Underweight</t>
        </is>
      </c>
      <c r="F51" s="14" t="inlineStr">
        <is>
          <t>Low</t>
        </is>
      </c>
      <c r="G51" s="14" t="inlineStr">
        <is>
          <t>No Override</t>
        </is>
      </c>
      <c r="H51" s="29" t="inlineStr">
        <is>
          <t>CONCERNS: slight alpha erosion (-1.24%); expensive (2.07%). Below-average. Better alternatives exist. Reduce on strength.</t>
        </is>
      </c>
      <c r="I51" s="14" t="inlineStr">
        <is>
          <t>Cost headwind</t>
        </is>
      </c>
      <c r="J51" s="16" t="inlineStr">
        <is>
          <t>No flags</t>
        </is>
      </c>
      <c r="K51" s="14" t="inlineStr">
        <is>
          <t>Mar 2026</t>
        </is>
      </c>
    </row>
    <row r="52" ht="55" customHeight="1">
      <c r="A52" s="8" t="n">
        <v>48</v>
      </c>
      <c r="B52" s="11" t="inlineStr">
        <is>
          <t>UTI Small Cap Fund</t>
        </is>
      </c>
      <c r="C52" s="8" t="inlineStr">
        <is>
          <t>Small Cap</t>
        </is>
      </c>
      <c r="D52" s="8" t="n">
        <v>42.2</v>
      </c>
      <c r="E52" s="19" t="inlineStr">
        <is>
          <t>Underweight</t>
        </is>
      </c>
      <c r="F52" s="8" t="inlineStr">
        <is>
          <t>Low</t>
        </is>
      </c>
      <c r="G52" s="8" t="inlineStr">
        <is>
          <t>No Override</t>
        </is>
      </c>
      <c r="H52" s="30" t="inlineStr">
        <is>
          <t>STRENGTHS: excellent downside protection (DC 84); defensive beta (0.85). CONCERNS: negative alpha (-4.45%). Below-average. Better alternatives exist. Reduce on strength.</t>
        </is>
      </c>
      <c r="I52" s="8" t="inlineStr">
        <is>
          <t>Alpha sustainability</t>
        </is>
      </c>
      <c r="J52" s="11" t="inlineStr">
        <is>
          <t>No flags</t>
        </is>
      </c>
      <c r="K52" s="8" t="inlineStr">
        <is>
          <t>Mar 2026</t>
        </is>
      </c>
    </row>
    <row r="53" ht="55" customHeight="1">
      <c r="A53" s="14" t="n">
        <v>49</v>
      </c>
      <c r="B53" s="16" t="inlineStr">
        <is>
          <t>Aditya Birla SL Large Cap Fund</t>
        </is>
      </c>
      <c r="C53" s="14" t="inlineStr">
        <is>
          <t>Large Cap</t>
        </is>
      </c>
      <c r="D53" s="14" t="n">
        <v>42</v>
      </c>
      <c r="E53" s="19" t="inlineStr">
        <is>
          <t>Underweight</t>
        </is>
      </c>
      <c r="F53" s="14" t="inlineStr">
        <is>
          <t>Low</t>
        </is>
      </c>
      <c r="G53" s="14" t="inlineStr">
        <is>
          <t>No Override</t>
        </is>
      </c>
      <c r="H53" s="29" t="inlineStr">
        <is>
          <t>STRENGTHS: positive alpha (+0.07%). Below-average. Better alternatives exist. Reduce on strength.</t>
        </is>
      </c>
      <c r="I53" s="14" t="inlineStr">
        <is>
          <t>Regime change risk</t>
        </is>
      </c>
      <c r="J53" s="16" t="inlineStr">
        <is>
          <t>No flags</t>
        </is>
      </c>
      <c r="K53" s="14" t="inlineStr">
        <is>
          <t>Mar 2026</t>
        </is>
      </c>
    </row>
    <row r="54" ht="55" customHeight="1">
      <c r="A54" s="8" t="n">
        <v>50</v>
      </c>
      <c r="B54" s="11" t="inlineStr">
        <is>
          <t>Canara Rob Large Cap Fund</t>
        </is>
      </c>
      <c r="C54" s="8" t="inlineStr">
        <is>
          <t>Large Cap</t>
        </is>
      </c>
      <c r="D54" s="8" t="n">
        <v>41.8</v>
      </c>
      <c r="E54" s="19" t="inlineStr">
        <is>
          <t>Underweight</t>
        </is>
      </c>
      <c r="F54" s="8" t="inlineStr">
        <is>
          <t>Low</t>
        </is>
      </c>
      <c r="G54" s="8" t="inlineStr">
        <is>
          <t>No Override</t>
        </is>
      </c>
      <c r="H54" s="30" t="inlineStr">
        <is>
          <t>STRENGTHS: solid downside protection (DC 90). CONCERNS: deep underperformance (-6.32%). Below-average. Better alternatives exist. Reduce on strength.</t>
        </is>
      </c>
      <c r="I54" s="8" t="inlineStr">
        <is>
          <t>Persistent benchmark lag</t>
        </is>
      </c>
      <c r="J54" s="11" t="inlineStr">
        <is>
          <t>No flags</t>
        </is>
      </c>
      <c r="K54" s="8" t="inlineStr">
        <is>
          <t>Mar 2026</t>
        </is>
      </c>
    </row>
    <row r="55" ht="55" customHeight="1">
      <c r="A55" s="14" t="n">
        <v>51</v>
      </c>
      <c r="B55" s="16" t="inlineStr">
        <is>
          <t>Nippon India Flexi Cap Fund</t>
        </is>
      </c>
      <c r="C55" s="14" t="inlineStr">
        <is>
          <t>Flexi Cap</t>
        </is>
      </c>
      <c r="D55" s="14" t="n">
        <v>41.1</v>
      </c>
      <c r="E55" s="19" t="inlineStr">
        <is>
          <t>Underweight</t>
        </is>
      </c>
      <c r="F55" s="14" t="inlineStr">
        <is>
          <t>Low</t>
        </is>
      </c>
      <c r="G55" s="14" t="inlineStr">
        <is>
          <t>No Override</t>
        </is>
      </c>
      <c r="H55" s="29" t="inlineStr">
        <is>
          <t>CONCERNS: slight alpha erosion (-1.08%); above-index downside (DC 103). Below-average. Better alternatives exist. Reduce on strength.</t>
        </is>
      </c>
      <c r="I55" s="14" t="inlineStr">
        <is>
          <t>Alpha sustainability</t>
        </is>
      </c>
      <c r="J55" s="16" t="inlineStr">
        <is>
          <t>No flags</t>
        </is>
      </c>
      <c r="K55" s="14" t="inlineStr">
        <is>
          <t>Mar 2026</t>
        </is>
      </c>
    </row>
    <row r="56" ht="55" customHeight="1">
      <c r="A56" s="8" t="n">
        <v>52</v>
      </c>
      <c r="B56" s="11" t="inlineStr">
        <is>
          <t>Mirae Asset Midcap Fund</t>
        </is>
      </c>
      <c r="C56" s="8" t="inlineStr">
        <is>
          <t>Mid Cap</t>
        </is>
      </c>
      <c r="D56" s="8" t="n">
        <v>40.6</v>
      </c>
      <c r="E56" s="19" t="inlineStr">
        <is>
          <t>Underweight</t>
        </is>
      </c>
      <c r="F56" s="8" t="inlineStr">
        <is>
          <t>Low</t>
        </is>
      </c>
      <c r="G56" s="8" t="inlineStr">
        <is>
          <t>No Override</t>
        </is>
      </c>
      <c r="H56" s="30" t="inlineStr">
        <is>
          <t>STRENGTHS: above-avg Sharpe (0.31). CONCERNS: negative alpha (-3.03%); above-index downside (DC 102); elevated turnover (111%). Below-average. Better alternatives exist. Reduce on strength.</t>
        </is>
      </c>
      <c r="I56" s="8" t="inlineStr">
        <is>
          <t>Alpha sustainability</t>
        </is>
      </c>
      <c r="J56" s="11" t="inlineStr">
        <is>
          <t>Turnover 111%</t>
        </is>
      </c>
      <c r="K56" s="8" t="inlineStr">
        <is>
          <t>Mar 2026</t>
        </is>
      </c>
    </row>
    <row r="57" ht="55" customHeight="1">
      <c r="A57" s="14" t="n">
        <v>53</v>
      </c>
      <c r="B57" s="16" t="inlineStr">
        <is>
          <t>DSP Midcap Fund</t>
        </is>
      </c>
      <c r="C57" s="14" t="inlineStr">
        <is>
          <t>Mid Cap</t>
        </is>
      </c>
      <c r="D57" s="14" t="n">
        <v>40.2</v>
      </c>
      <c r="E57" s="19" t="inlineStr">
        <is>
          <t>Underweight</t>
        </is>
      </c>
      <c r="F57" s="14" t="inlineStr">
        <is>
          <t>Low</t>
        </is>
      </c>
      <c r="G57" s="14" t="inlineStr">
        <is>
          <t>No Override</t>
        </is>
      </c>
      <c r="H57" s="29" t="inlineStr">
        <is>
          <t>STRENGTHS: above-avg Sharpe (0.30). CONCERNS: negative alpha (-3.28%). Below-average. Better alternatives exist. Reduce on strength.</t>
        </is>
      </c>
      <c r="I57" s="14" t="inlineStr">
        <is>
          <t>Alpha sustainability</t>
        </is>
      </c>
      <c r="J57" s="16" t="inlineStr">
        <is>
          <t>No flags</t>
        </is>
      </c>
      <c r="K57" s="14" t="inlineStr">
        <is>
          <t>Mar 2026</t>
        </is>
      </c>
    </row>
    <row r="58" ht="55" customHeight="1">
      <c r="A58" s="8" t="n">
        <v>54</v>
      </c>
      <c r="B58" s="11" t="inlineStr">
        <is>
          <t>Canara Rob Small Cap Fund</t>
        </is>
      </c>
      <c r="C58" s="8" t="inlineStr">
        <is>
          <t>Small Cap</t>
        </is>
      </c>
      <c r="D58" s="8" t="n">
        <v>39.5</v>
      </c>
      <c r="E58" s="19" t="inlineStr">
        <is>
          <t>Underweight</t>
        </is>
      </c>
      <c r="F58" s="8" t="inlineStr">
        <is>
          <t>Low</t>
        </is>
      </c>
      <c r="G58" s="8" t="inlineStr">
        <is>
          <t>No Override</t>
        </is>
      </c>
      <c r="H58" s="30" t="inlineStr">
        <is>
          <t>STRENGTHS: excellent downside protection (DC 82); defensive beta (0.81). CONCERNS: deep underperformance (-6.08%); weak Sharpe (0.21); persistent underperformance (IR -0.28). Below-average. Better alternatives exist. Reduce on strength.</t>
        </is>
      </c>
      <c r="I58" s="8" t="inlineStr">
        <is>
          <t>Persistent benchmark lag</t>
        </is>
      </c>
      <c r="J58" s="11" t="inlineStr">
        <is>
          <t>No flags</t>
        </is>
      </c>
      <c r="K58" s="8" t="inlineStr">
        <is>
          <t>Mar 2026</t>
        </is>
      </c>
    </row>
    <row r="59" ht="55" customHeight="1">
      <c r="A59" s="14" t="n">
        <v>55</v>
      </c>
      <c r="B59" s="16" t="inlineStr">
        <is>
          <t>Canara Rob Flexi Cap Fund</t>
        </is>
      </c>
      <c r="C59" s="14" t="inlineStr">
        <is>
          <t>Flexi Cap</t>
        </is>
      </c>
      <c r="D59" s="14" t="n">
        <v>38.7</v>
      </c>
      <c r="E59" s="19" t="inlineStr">
        <is>
          <t>Underweight</t>
        </is>
      </c>
      <c r="F59" s="14" t="inlineStr">
        <is>
          <t>Low</t>
        </is>
      </c>
      <c r="G59" s="14" t="inlineStr">
        <is>
          <t>No Override</t>
        </is>
      </c>
      <c r="H59" s="29" t="inlineStr">
        <is>
          <t>STRENGTHS: solid downside protection (DC 91). CONCERNS: deep underperformance (-6.94%). Below-average. Better alternatives exist. Reduce on strength.</t>
        </is>
      </c>
      <c r="I59" s="14" t="inlineStr">
        <is>
          <t>Persistent benchmark lag</t>
        </is>
      </c>
      <c r="J59" s="16" t="inlineStr">
        <is>
          <t>No flags</t>
        </is>
      </c>
      <c r="K59" s="14" t="inlineStr">
        <is>
          <t>Mar 2026</t>
        </is>
      </c>
    </row>
    <row r="60" ht="55" customHeight="1">
      <c r="A60" s="8" t="n">
        <v>56</v>
      </c>
      <c r="B60" s="11" t="inlineStr">
        <is>
          <t>Sundaram Flexi Cap Fund</t>
        </is>
      </c>
      <c r="C60" s="8" t="inlineStr">
        <is>
          <t>Flexi Cap</t>
        </is>
      </c>
      <c r="D60" s="8" t="n">
        <v>38.1</v>
      </c>
      <c r="E60" s="19" t="inlineStr">
        <is>
          <t>Underweight</t>
        </is>
      </c>
      <c r="F60" s="8" t="inlineStr">
        <is>
          <t>Low</t>
        </is>
      </c>
      <c r="G60" s="8" t="inlineStr">
        <is>
          <t>No Override</t>
        </is>
      </c>
      <c r="H60" s="30" t="inlineStr">
        <is>
          <t>STRENGTHS: solid downside protection (DC 89). CONCERNS: negative alpha (-2.24%); expensive (2.04%); persistent underperformance (IR -0.21). Below-average. Better alternatives exist. Reduce on strength.</t>
        </is>
      </c>
      <c r="I60" s="8" t="inlineStr">
        <is>
          <t>Cost headwind</t>
        </is>
      </c>
      <c r="J60" s="11" t="inlineStr">
        <is>
          <t>No flags</t>
        </is>
      </c>
      <c r="K60" s="8" t="inlineStr">
        <is>
          <t>Mar 2026</t>
        </is>
      </c>
    </row>
    <row r="61" ht="55" customHeight="1">
      <c r="A61" s="14" t="n">
        <v>57</v>
      </c>
      <c r="B61" s="16" t="inlineStr">
        <is>
          <t>Canara Rob Mid Cap Fund</t>
        </is>
      </c>
      <c r="C61" s="14" t="inlineStr">
        <is>
          <t>Mid Cap</t>
        </is>
      </c>
      <c r="D61" s="14" t="n">
        <v>37</v>
      </c>
      <c r="E61" s="19" t="inlineStr">
        <is>
          <t>Underweight</t>
        </is>
      </c>
      <c r="F61" s="14" t="inlineStr">
        <is>
          <t>Low</t>
        </is>
      </c>
      <c r="G61" s="14" t="inlineStr">
        <is>
          <t>No Override</t>
        </is>
      </c>
      <c r="H61" s="29" t="inlineStr">
        <is>
          <t>STRENGTHS: solid downside protection (DC 90); above-avg Sharpe (0.30). CONCERNS: deep underperformance (-9.36%). Below-average. Better alternatives exist. Reduce on strength.</t>
        </is>
      </c>
      <c r="I61" s="14" t="inlineStr">
        <is>
          <t>Persistent benchmark lag</t>
        </is>
      </c>
      <c r="J61" s="16" t="inlineStr">
        <is>
          <t>No flags</t>
        </is>
      </c>
      <c r="K61" s="14" t="inlineStr">
        <is>
          <t>Mar 2026</t>
        </is>
      </c>
    </row>
    <row r="62" ht="55" customHeight="1">
      <c r="A62" s="8" t="n">
        <v>58</v>
      </c>
      <c r="B62" s="11" t="inlineStr">
        <is>
          <t>SBI Midcap Fund</t>
        </is>
      </c>
      <c r="C62" s="8" t="inlineStr">
        <is>
          <t>Mid Cap</t>
        </is>
      </c>
      <c r="D62" s="8" t="n">
        <v>36.1</v>
      </c>
      <c r="E62" s="19" t="inlineStr">
        <is>
          <t>Underweight</t>
        </is>
      </c>
      <c r="F62" s="8" t="inlineStr">
        <is>
          <t>Low</t>
        </is>
      </c>
      <c r="G62" s="8" t="inlineStr">
        <is>
          <t>No Override</t>
        </is>
      </c>
      <c r="H62" s="30" t="inlineStr">
        <is>
          <t>STRENGTHS: solid downside protection (DC 87); defensive beta (0.80). CONCERNS: deep underperformance (-7.31%); persistent underperformance (IR -0.35). Below-average. Better alternatives exist. Reduce on strength.</t>
        </is>
      </c>
      <c r="I62" s="8" t="inlineStr">
        <is>
          <t>Persistent benchmark lag</t>
        </is>
      </c>
      <c r="J62" s="11" t="inlineStr">
        <is>
          <t>No flags</t>
        </is>
      </c>
      <c r="K62" s="8" t="inlineStr">
        <is>
          <t>Mar 2026</t>
        </is>
      </c>
    </row>
    <row r="63" ht="55" customHeight="1">
      <c r="A63" s="14" t="n">
        <v>59</v>
      </c>
      <c r="B63" s="16" t="inlineStr">
        <is>
          <t>Tata Large Cap Fund</t>
        </is>
      </c>
      <c r="C63" s="14" t="inlineStr">
        <is>
          <t>Large Cap</t>
        </is>
      </c>
      <c r="D63" s="14" t="n">
        <v>36</v>
      </c>
      <c r="E63" s="19" t="inlineStr">
        <is>
          <t>Underweight</t>
        </is>
      </c>
      <c r="F63" s="14" t="inlineStr">
        <is>
          <t>Low</t>
        </is>
      </c>
      <c r="G63" s="14" t="inlineStr">
        <is>
          <t>No Override</t>
        </is>
      </c>
      <c r="H63" s="29" t="inlineStr">
        <is>
          <t>STRENGTHS: positive alpha (+0.01%). Below-average. Better alternatives exist. Reduce on strength.</t>
        </is>
      </c>
      <c r="I63" s="14" t="inlineStr">
        <is>
          <t>Regime change risk</t>
        </is>
      </c>
      <c r="J63" s="16" t="inlineStr">
        <is>
          <t>No flags</t>
        </is>
      </c>
      <c r="K63" s="14" t="inlineStr">
        <is>
          <t>Mar 2026</t>
        </is>
      </c>
    </row>
    <row r="64" ht="55" customHeight="1">
      <c r="A64" s="8" t="n">
        <v>60</v>
      </c>
      <c r="B64" s="11" t="inlineStr">
        <is>
          <t>Baroda BNP Paribas Flexi Cap Fund</t>
        </is>
      </c>
      <c r="C64" s="8" t="inlineStr">
        <is>
          <t>Flexi Cap</t>
        </is>
      </c>
      <c r="D64" s="8" t="n">
        <v>34.9</v>
      </c>
      <c r="E64" s="20" t="inlineStr">
        <is>
          <t>Avoid</t>
        </is>
      </c>
      <c r="F64" s="8" t="inlineStr">
        <is>
          <t>Negative</t>
        </is>
      </c>
      <c r="G64" s="8" t="inlineStr">
        <is>
          <t>No Override</t>
        </is>
      </c>
      <c r="H64" s="30" t="inlineStr">
        <is>
          <t>CONCERNS: slight alpha erosion (-0.46%); above-index downside (DC 109); expensive (2.18%). Quant evidence unfavourable. Switch to higher-rated peers.</t>
        </is>
      </c>
      <c r="I64" s="8" t="inlineStr">
        <is>
          <t>Drawdown amplification</t>
        </is>
      </c>
      <c r="J64" s="11" t="inlineStr">
        <is>
          <t>No flags</t>
        </is>
      </c>
      <c r="K64" s="8" t="inlineStr">
        <is>
          <t>Mar 2026</t>
        </is>
      </c>
    </row>
    <row r="65" ht="55" customHeight="1">
      <c r="A65" s="14" t="n">
        <v>61</v>
      </c>
      <c r="B65" s="16" t="inlineStr">
        <is>
          <t>Axis Flexi Cap Fund</t>
        </is>
      </c>
      <c r="C65" s="14" t="inlineStr">
        <is>
          <t>Flexi Cap</t>
        </is>
      </c>
      <c r="D65" s="14" t="n">
        <v>34.5</v>
      </c>
      <c r="E65" s="20" t="inlineStr">
        <is>
          <t>Avoid</t>
        </is>
      </c>
      <c r="F65" s="14" t="inlineStr">
        <is>
          <t>Negative</t>
        </is>
      </c>
      <c r="G65" s="14" t="inlineStr">
        <is>
          <t>No Override</t>
        </is>
      </c>
      <c r="H65" s="29" t="inlineStr">
        <is>
          <t>CONCERNS: slight alpha erosion (-1.35%); above-index downside (DC 102). Quant evidence unfavourable. Switch to higher-rated peers.</t>
        </is>
      </c>
      <c r="I65" s="14" t="inlineStr">
        <is>
          <t>Alpha sustainability</t>
        </is>
      </c>
      <c r="J65" s="16" t="inlineStr">
        <is>
          <t>No flags</t>
        </is>
      </c>
      <c r="K65" s="14" t="inlineStr">
        <is>
          <t>Mar 2026</t>
        </is>
      </c>
    </row>
    <row r="66" ht="55" customHeight="1">
      <c r="A66" s="8" t="n">
        <v>62</v>
      </c>
      <c r="B66" s="11" t="inlineStr">
        <is>
          <t>Union Midcap Fund</t>
        </is>
      </c>
      <c r="C66" s="8" t="inlineStr">
        <is>
          <t>Mid Cap</t>
        </is>
      </c>
      <c r="D66" s="8" t="n">
        <v>33.2</v>
      </c>
      <c r="E66" s="20" t="inlineStr">
        <is>
          <t>Avoid</t>
        </is>
      </c>
      <c r="F66" s="8" t="inlineStr">
        <is>
          <t>Negative</t>
        </is>
      </c>
      <c r="G66" s="8" t="inlineStr">
        <is>
          <t>No Override</t>
        </is>
      </c>
      <c r="H66" s="30" t="inlineStr">
        <is>
          <t>STRENGTHS: solid downside protection (DC 95); above-avg Sharpe (0.31). CONCERNS: deep underperformance (-8.12%); expensive (2.08%). Quant evidence unfavourable. Switch to higher-rated peers.</t>
        </is>
      </c>
      <c r="I66" s="8" t="inlineStr">
        <is>
          <t>Persistent benchmark lag</t>
        </is>
      </c>
      <c r="J66" s="11" t="inlineStr">
        <is>
          <t>No flags</t>
        </is>
      </c>
      <c r="K66" s="8" t="inlineStr">
        <is>
          <t>Mar 2026</t>
        </is>
      </c>
    </row>
    <row r="67" ht="55" customHeight="1">
      <c r="A67" s="14" t="n">
        <v>63</v>
      </c>
      <c r="B67" s="16" t="inlineStr">
        <is>
          <t>SBI Flexicap Fund</t>
        </is>
      </c>
      <c r="C67" s="14" t="inlineStr">
        <is>
          <t>Flexi Cap</t>
        </is>
      </c>
      <c r="D67" s="14" t="n">
        <v>32.9</v>
      </c>
      <c r="E67" s="20" t="inlineStr">
        <is>
          <t>Avoid</t>
        </is>
      </c>
      <c r="F67" s="14" t="inlineStr">
        <is>
          <t>Negative</t>
        </is>
      </c>
      <c r="G67" s="14" t="inlineStr">
        <is>
          <t>No Override</t>
        </is>
      </c>
      <c r="H67" s="29" t="inlineStr">
        <is>
          <t>STRENGTHS: solid downside protection (DC 87). CONCERNS: deep underperformance (-9.21%). Quant evidence unfavourable. Switch to higher-rated peers.</t>
        </is>
      </c>
      <c r="I67" s="14" t="inlineStr">
        <is>
          <t>Persistent benchmark lag</t>
        </is>
      </c>
      <c r="J67" s="16" t="inlineStr">
        <is>
          <t>No flags</t>
        </is>
      </c>
      <c r="K67" s="14" t="inlineStr">
        <is>
          <t>Mar 2026</t>
        </is>
      </c>
    </row>
    <row r="68" ht="55" customHeight="1">
      <c r="A68" s="8" t="n">
        <v>64</v>
      </c>
      <c r="B68" s="11" t="inlineStr">
        <is>
          <t>Aditya Birla SL Midcap Fund</t>
        </is>
      </c>
      <c r="C68" s="8" t="inlineStr">
        <is>
          <t>Mid Cap</t>
        </is>
      </c>
      <c r="D68" s="8" t="n">
        <v>32.3</v>
      </c>
      <c r="E68" s="20" t="inlineStr">
        <is>
          <t>Avoid</t>
        </is>
      </c>
      <c r="F68" s="8" t="inlineStr">
        <is>
          <t>Negative</t>
        </is>
      </c>
      <c r="G68" s="8" t="inlineStr">
        <is>
          <t>No Override</t>
        </is>
      </c>
      <c r="H68" s="30" t="inlineStr">
        <is>
          <t>STRENGTHS: above-avg Sharpe (0.30). CONCERNS: negative alpha (-3.51%); persistent underperformance (IR -0.23). Quant evidence unfavourable. Switch to higher-rated peers.</t>
        </is>
      </c>
      <c r="I68" s="8" t="inlineStr">
        <is>
          <t>Alpha sustainability</t>
        </is>
      </c>
      <c r="J68" s="11" t="inlineStr">
        <is>
          <t>No flags</t>
        </is>
      </c>
      <c r="K68" s="8" t="inlineStr">
        <is>
          <t>Mar 2026</t>
        </is>
      </c>
    </row>
    <row r="69" ht="55" customHeight="1">
      <c r="A69" s="14" t="n">
        <v>65</v>
      </c>
      <c r="B69" s="16" t="inlineStr">
        <is>
          <t>Union Flexi Cap Fund</t>
        </is>
      </c>
      <c r="C69" s="14" t="inlineStr">
        <is>
          <t>Flexi Cap</t>
        </is>
      </c>
      <c r="D69" s="14" t="n">
        <v>31.4</v>
      </c>
      <c r="E69" s="20" t="inlineStr">
        <is>
          <t>Avoid</t>
        </is>
      </c>
      <c r="F69" s="14" t="inlineStr">
        <is>
          <t>Negative</t>
        </is>
      </c>
      <c r="G69" s="14" t="inlineStr">
        <is>
          <t>No Override</t>
        </is>
      </c>
      <c r="H69" s="29" t="inlineStr">
        <is>
          <t>CONCERNS: deep underperformance (-6.69%); expensive (2.02%). Quant evidence unfavourable. Switch to higher-rated peers.</t>
        </is>
      </c>
      <c r="I69" s="14" t="inlineStr">
        <is>
          <t>Persistent benchmark lag</t>
        </is>
      </c>
      <c r="J69" s="16" t="inlineStr">
        <is>
          <t>No flags</t>
        </is>
      </c>
      <c r="K69" s="14" t="inlineStr">
        <is>
          <t>Mar 2026</t>
        </is>
      </c>
    </row>
    <row r="70" ht="55" customHeight="1">
      <c r="A70" s="8" t="n">
        <v>66</v>
      </c>
      <c r="B70" s="11" t="inlineStr">
        <is>
          <t>LIC MF Small Cap Fund</t>
        </is>
      </c>
      <c r="C70" s="8" t="inlineStr">
        <is>
          <t>Small Cap</t>
        </is>
      </c>
      <c r="D70" s="8" t="n">
        <v>29.6</v>
      </c>
      <c r="E70" s="20" t="inlineStr">
        <is>
          <t>Avoid</t>
        </is>
      </c>
      <c r="F70" s="8" t="inlineStr">
        <is>
          <t>Negative</t>
        </is>
      </c>
      <c r="G70" s="8" t="inlineStr">
        <is>
          <t>No Override</t>
        </is>
      </c>
      <c r="H70" s="30" t="inlineStr">
        <is>
          <t>STRENGTHS: solid downside protection (DC 94). CONCERNS: negative alpha (-4.65%); expensive (2.39%); weak Sharpe (0.21). Quant evidence unfavourable. Switch to higher-rated peers.</t>
        </is>
      </c>
      <c r="I70" s="8" t="inlineStr">
        <is>
          <t>Cost headwind</t>
        </is>
      </c>
      <c r="J70" s="11" t="inlineStr">
        <is>
          <t>No flags</t>
        </is>
      </c>
      <c r="K70" s="8" t="inlineStr">
        <is>
          <t>Mar 2026</t>
        </is>
      </c>
    </row>
    <row r="71" ht="55" customHeight="1">
      <c r="A71" s="14" t="n">
        <v>67</v>
      </c>
      <c r="B71" s="16" t="inlineStr">
        <is>
          <t>PGIM India Small Cap Fund</t>
        </is>
      </c>
      <c r="C71" s="14" t="inlineStr">
        <is>
          <t>Small Cap</t>
        </is>
      </c>
      <c r="D71" s="14" t="n">
        <v>28.7</v>
      </c>
      <c r="E71" s="20" t="inlineStr">
        <is>
          <t>Avoid</t>
        </is>
      </c>
      <c r="F71" s="14" t="inlineStr">
        <is>
          <t>Negative</t>
        </is>
      </c>
      <c r="G71" s="14" t="inlineStr">
        <is>
          <t>No Override</t>
        </is>
      </c>
      <c r="H71" s="29" t="inlineStr">
        <is>
          <t>STRENGTHS: excellent downside protection (DC 76); defensive beta (0.74). CONCERNS: deep underperformance (-7.10%); expensive (2.08%); weak Sharpe (0.20). Quant evidence unfavourable. Switch to higher-rated peers.</t>
        </is>
      </c>
      <c r="I71" s="14" t="inlineStr">
        <is>
          <t>Persistent benchmark lag</t>
        </is>
      </c>
      <c r="J71" s="16" t="inlineStr">
        <is>
          <t>No flags</t>
        </is>
      </c>
      <c r="K71" s="14" t="inlineStr">
        <is>
          <t>Mar 2026</t>
        </is>
      </c>
    </row>
    <row r="72" ht="55" customHeight="1">
      <c r="A72" s="8" t="n">
        <v>68</v>
      </c>
      <c r="B72" s="11" t="inlineStr">
        <is>
          <t>Sundaram Large Cap Fund</t>
        </is>
      </c>
      <c r="C72" s="8" t="inlineStr">
        <is>
          <t>Large Cap</t>
        </is>
      </c>
      <c r="D72" s="8" t="n">
        <v>27</v>
      </c>
      <c r="E72" s="20" t="inlineStr">
        <is>
          <t>Avoid</t>
        </is>
      </c>
      <c r="F72" s="8" t="inlineStr">
        <is>
          <t>Negative</t>
        </is>
      </c>
      <c r="G72" s="8" t="inlineStr">
        <is>
          <t>No Override</t>
        </is>
      </c>
      <c r="H72" s="30" t="inlineStr">
        <is>
          <t>STRENGTHS: solid downside protection (DC 93). CONCERNS: negative alpha (-2.12%); weak Sharpe (0.21); persistent underperformance (IR -0.30). Quant evidence unfavourable. Switch to higher-rated peers.</t>
        </is>
      </c>
      <c r="I72" s="8" t="inlineStr">
        <is>
          <t>Alpha sustainability</t>
        </is>
      </c>
      <c r="J72" s="11" t="inlineStr">
        <is>
          <t>No flags</t>
        </is>
      </c>
      <c r="K72" s="8" t="inlineStr">
        <is>
          <t>Mar 2026</t>
        </is>
      </c>
    </row>
    <row r="73" ht="55" customHeight="1">
      <c r="A73" s="14" t="n">
        <v>69</v>
      </c>
      <c r="B73" s="16" t="inlineStr">
        <is>
          <t>PGIM India Flexi Cap Fund</t>
        </is>
      </c>
      <c r="C73" s="14" t="inlineStr">
        <is>
          <t>Flexi Cap</t>
        </is>
      </c>
      <c r="D73" s="14" t="n">
        <v>25.7</v>
      </c>
      <c r="E73" s="20" t="inlineStr">
        <is>
          <t>Avoid</t>
        </is>
      </c>
      <c r="F73" s="14" t="inlineStr">
        <is>
          <t>Negative</t>
        </is>
      </c>
      <c r="G73" s="14" t="inlineStr">
        <is>
          <t>No Override</t>
        </is>
      </c>
      <c r="H73" s="29" t="inlineStr">
        <is>
          <t>CONCERNS: negative alpha (-4.07%); above-index downside (DC 101); weak Sharpe (0.20). Quant evidence unfavourable. Switch to higher-rated peers.</t>
        </is>
      </c>
      <c r="I73" s="14" t="inlineStr">
        <is>
          <t>Alpha sustainability</t>
        </is>
      </c>
      <c r="J73" s="16" t="inlineStr">
        <is>
          <t>No flags</t>
        </is>
      </c>
      <c r="K73" s="14" t="inlineStr">
        <is>
          <t>Mar 2026</t>
        </is>
      </c>
    </row>
    <row r="74" ht="55" customHeight="1">
      <c r="A74" s="8" t="n">
        <v>70</v>
      </c>
      <c r="B74" s="11" t="inlineStr">
        <is>
          <t>Bandhan Midcap Fund</t>
        </is>
      </c>
      <c r="C74" s="8" t="inlineStr">
        <is>
          <t>Mid Cap</t>
        </is>
      </c>
      <c r="D74" s="8" t="n">
        <v>25.4</v>
      </c>
      <c r="E74" s="20" t="inlineStr">
        <is>
          <t>Avoid</t>
        </is>
      </c>
      <c r="F74" s="8" t="inlineStr">
        <is>
          <t>Negative</t>
        </is>
      </c>
      <c r="G74" s="8" t="inlineStr">
        <is>
          <t>No Override</t>
        </is>
      </c>
      <c r="H74" s="30" t="inlineStr">
        <is>
          <t>STRENGTHS: above-avg Sharpe (0.29); asymmetric capture (+21 spread). CONCERNS: deep underperformance (-8.75%); amplifies drawdowns (DC 114); expensive (2.05%). Quant evidence unfavourable. Switch to higher-rated peers.</t>
        </is>
      </c>
      <c r="I74" s="8" t="inlineStr">
        <is>
          <t>Drawdown amplification</t>
        </is>
      </c>
      <c r="J74" s="11" t="inlineStr">
        <is>
          <t>Beta 1.12</t>
        </is>
      </c>
      <c r="K74" s="8" t="inlineStr">
        <is>
          <t>Mar 2026</t>
        </is>
      </c>
    </row>
    <row r="75" ht="55" customHeight="1">
      <c r="A75" s="14" t="n">
        <v>71</v>
      </c>
      <c r="B75" s="16" t="inlineStr">
        <is>
          <t>Aditya Birla SL Small Cap Fund</t>
        </is>
      </c>
      <c r="C75" s="14" t="inlineStr">
        <is>
          <t>Small Cap</t>
        </is>
      </c>
      <c r="D75" s="14" t="n">
        <v>24.8</v>
      </c>
      <c r="E75" s="20" t="inlineStr">
        <is>
          <t>Avoid</t>
        </is>
      </c>
      <c r="F75" s="14" t="inlineStr">
        <is>
          <t>Negative</t>
        </is>
      </c>
      <c r="G75" s="14" t="inlineStr">
        <is>
          <t>No Override</t>
        </is>
      </c>
      <c r="H75" s="29" t="inlineStr">
        <is>
          <t>CONCERNS: deep underperformance (-9.75%); amplifies drawdowns (DC 133); high beta (1.14). Quant evidence unfavourable. Switch to higher-rated peers.</t>
        </is>
      </c>
      <c r="I75" s="14" t="inlineStr">
        <is>
          <t>Drawdown amplification</t>
        </is>
      </c>
      <c r="J75" s="16" t="inlineStr">
        <is>
          <t>Beta 1.14</t>
        </is>
      </c>
      <c r="K75" s="14" t="inlineStr">
        <is>
          <t>Mar 2026</t>
        </is>
      </c>
    </row>
    <row r="76" ht="55" customHeight="1">
      <c r="A76" s="8" t="n">
        <v>72</v>
      </c>
      <c r="B76" s="11" t="inlineStr">
        <is>
          <t>Axis Large Cap Fund</t>
        </is>
      </c>
      <c r="C76" s="8" t="inlineStr">
        <is>
          <t>Large Cap</t>
        </is>
      </c>
      <c r="D76" s="8" t="n">
        <v>23.2</v>
      </c>
      <c r="E76" s="20" t="inlineStr">
        <is>
          <t>Avoid</t>
        </is>
      </c>
      <c r="F76" s="8" t="inlineStr">
        <is>
          <t>Negative</t>
        </is>
      </c>
      <c r="G76" s="8" t="inlineStr">
        <is>
          <t>No Override</t>
        </is>
      </c>
      <c r="H76" s="30" t="inlineStr">
        <is>
          <t>STRENGTHS: cost-efficient (1.58%). CONCERNS: slight alpha erosion (-1.03%); weak Sharpe (0.21). Quant evidence unfavourable. Switch to higher-rated peers.</t>
        </is>
      </c>
      <c r="I76" s="8" t="inlineStr">
        <is>
          <t>Alpha sustainability</t>
        </is>
      </c>
      <c r="J76" s="11" t="inlineStr">
        <is>
          <t>No flags</t>
        </is>
      </c>
      <c r="K76" s="8" t="inlineStr">
        <is>
          <t>Mar 2026</t>
        </is>
      </c>
    </row>
    <row r="77" ht="55" customHeight="1">
      <c r="A77" s="14" t="n">
        <v>73</v>
      </c>
      <c r="B77" s="16" t="inlineStr">
        <is>
          <t>UTI Mid Cap Fund-Reg(IDCW)</t>
        </is>
      </c>
      <c r="C77" s="14" t="inlineStr">
        <is>
          <t>Mid Cap</t>
        </is>
      </c>
      <c r="D77" s="14" t="n">
        <v>20.6</v>
      </c>
      <c r="E77" s="20" t="inlineStr">
        <is>
          <t>Avoid</t>
        </is>
      </c>
      <c r="F77" s="14" t="inlineStr">
        <is>
          <t>Negative</t>
        </is>
      </c>
      <c r="G77" s="14" t="inlineStr">
        <is>
          <t>No Override</t>
        </is>
      </c>
      <c r="H77" s="29" t="inlineStr">
        <is>
          <t>CONCERNS: deep underperformance (-6.18%); above-index downside (DC 103); persistent underperformance (IR -0.41). Quant evidence unfavourable. Switch to higher-rated peers.</t>
        </is>
      </c>
      <c r="I77" s="14" t="inlineStr">
        <is>
          <t>Persistent benchmark lag</t>
        </is>
      </c>
      <c r="J77" s="16" t="inlineStr">
        <is>
          <t>No flags</t>
        </is>
      </c>
      <c r="K77" s="14" t="inlineStr">
        <is>
          <t>Mar 2026</t>
        </is>
      </c>
    </row>
    <row r="78" ht="55" customHeight="1">
      <c r="A78" s="8" t="n">
        <v>74</v>
      </c>
      <c r="B78" s="11" t="inlineStr">
        <is>
          <t>Mirae Asset Large Cap Fund</t>
        </is>
      </c>
      <c r="C78" s="8" t="inlineStr">
        <is>
          <t>Large Cap</t>
        </is>
      </c>
      <c r="D78" s="8" t="n">
        <v>20.4</v>
      </c>
      <c r="E78" s="20" t="inlineStr">
        <is>
          <t>Avoid</t>
        </is>
      </c>
      <c r="F78" s="8" t="inlineStr">
        <is>
          <t>Negative</t>
        </is>
      </c>
      <c r="G78" s="8" t="inlineStr">
        <is>
          <t>No Override</t>
        </is>
      </c>
      <c r="H78" s="30" t="inlineStr">
        <is>
          <t>STRENGTHS: cost-efficient (1.52%). CONCERNS: negative alpha (-2.03%); above-index downside (DC 101); weak Sharpe (0.21). Quant evidence unfavourable. Switch to higher-rated peers.</t>
        </is>
      </c>
      <c r="I78" s="8" t="inlineStr">
        <is>
          <t>Alpha sustainability</t>
        </is>
      </c>
      <c r="J78" s="11" t="inlineStr">
        <is>
          <t>AUM capacity concern</t>
        </is>
      </c>
      <c r="K78" s="8" t="inlineStr">
        <is>
          <t>Mar 2026</t>
        </is>
      </c>
    </row>
    <row r="79" ht="55" customHeight="1">
      <c r="A79" s="14" t="n">
        <v>75</v>
      </c>
      <c r="B79" s="16" t="inlineStr">
        <is>
          <t>LIC MF Flexi Cap Fund</t>
        </is>
      </c>
      <c r="C79" s="14" t="inlineStr">
        <is>
          <t>Flexi Cap</t>
        </is>
      </c>
      <c r="D79" s="14" t="n">
        <v>18.4</v>
      </c>
      <c r="E79" s="20" t="inlineStr">
        <is>
          <t>Avoid</t>
        </is>
      </c>
      <c r="F79" s="14" t="inlineStr">
        <is>
          <t>Negative</t>
        </is>
      </c>
      <c r="G79" s="14" t="inlineStr">
        <is>
          <t>No Override</t>
        </is>
      </c>
      <c r="H79" s="29" t="inlineStr">
        <is>
          <t>CONCERNS: negative alpha (-2.23%); amplifies drawdowns (DC 119); expensive (2.32%). Quant evidence unfavourable. Switch to higher-rated peers.</t>
        </is>
      </c>
      <c r="I79" s="14" t="inlineStr">
        <is>
          <t>Drawdown amplification</t>
        </is>
      </c>
      <c r="J79" s="16" t="inlineStr">
        <is>
          <t>Beta 1.05</t>
        </is>
      </c>
      <c r="K79" s="14" t="inlineStr">
        <is>
          <t>Mar 2026</t>
        </is>
      </c>
    </row>
    <row r="80" ht="55" customHeight="1">
      <c r="A80" s="8" t="n">
        <v>76</v>
      </c>
      <c r="B80" s="11" t="inlineStr">
        <is>
          <t>UTI Flexi Cap Fund-Reg(IDCW)</t>
        </is>
      </c>
      <c r="C80" s="8" t="inlineStr">
        <is>
          <t>Flexi Cap</t>
        </is>
      </c>
      <c r="D80" s="8" t="n">
        <v>16.5</v>
      </c>
      <c r="E80" s="20" t="inlineStr">
        <is>
          <t>Avoid</t>
        </is>
      </c>
      <c r="F80" s="8" t="inlineStr">
        <is>
          <t>Negative</t>
        </is>
      </c>
      <c r="G80" s="8" t="inlineStr">
        <is>
          <t>No Override</t>
        </is>
      </c>
      <c r="H80" s="30" t="inlineStr">
        <is>
          <t>CONCERNS: deep underperformance (-6.57%); above-index downside (DC 101); weak Sharpe (0.14). Quant evidence unfavourable. Switch to higher-rated peers.</t>
        </is>
      </c>
      <c r="I80" s="8" t="inlineStr">
        <is>
          <t>Persistent benchmark lag</t>
        </is>
      </c>
      <c r="J80" s="11" t="inlineStr">
        <is>
          <t>No flags</t>
        </is>
      </c>
      <c r="K80" s="8" t="inlineStr">
        <is>
          <t>Mar 2026</t>
        </is>
      </c>
    </row>
    <row r="81" ht="55" customHeight="1">
      <c r="A81" s="14" t="n">
        <v>77</v>
      </c>
      <c r="B81" s="16" t="inlineStr">
        <is>
          <t>PGIM India Midcap Fund</t>
        </is>
      </c>
      <c r="C81" s="14" t="inlineStr">
        <is>
          <t>Mid Cap</t>
        </is>
      </c>
      <c r="D81" s="14" t="n">
        <v>16.3</v>
      </c>
      <c r="E81" s="20" t="inlineStr">
        <is>
          <t>Avoid</t>
        </is>
      </c>
      <c r="F81" s="14" t="inlineStr">
        <is>
          <t>Negative</t>
        </is>
      </c>
      <c r="G81" s="14" t="inlineStr">
        <is>
          <t>No Override</t>
        </is>
      </c>
      <c r="H81" s="29" t="inlineStr">
        <is>
          <t>STRENGTHS: solid downside protection (DC 94); defensive beta (0.84). CONCERNS: deep underperformance (-10.41%); weak Sharpe (0.20); persistent underperformance (IR -0.49). Quant evidence unfavourable. Switch to higher-rated peers.</t>
        </is>
      </c>
      <c r="I81" s="14" t="inlineStr">
        <is>
          <t>Persistent benchmark lag</t>
        </is>
      </c>
      <c r="J81" s="16" t="inlineStr">
        <is>
          <t>No flags</t>
        </is>
      </c>
      <c r="K81" s="14" t="inlineStr">
        <is>
          <t>Mar 2026</t>
        </is>
      </c>
    </row>
    <row r="82" ht="55" customHeight="1">
      <c r="A82" s="8" t="n">
        <v>78</v>
      </c>
      <c r="B82" s="11" t="inlineStr">
        <is>
          <t>UTI Large Cap Fund-Reg(IDCW)</t>
        </is>
      </c>
      <c r="C82" s="8" t="inlineStr">
        <is>
          <t>Large Cap</t>
        </is>
      </c>
      <c r="D82" s="8" t="n">
        <v>15.8</v>
      </c>
      <c r="E82" s="20" t="inlineStr">
        <is>
          <t>Avoid</t>
        </is>
      </c>
      <c r="F82" s="8" t="inlineStr">
        <is>
          <t>Negative</t>
        </is>
      </c>
      <c r="G82" s="8" t="inlineStr">
        <is>
          <t>No Override</t>
        </is>
      </c>
      <c r="H82" s="30" t="inlineStr">
        <is>
          <t>STRENGTHS: solid downside protection (DC 94). CONCERNS: deep underperformance (-8.43%); weak Sharpe (0.21). Quant evidence unfavourable. Switch to higher-rated peers.</t>
        </is>
      </c>
      <c r="I82" s="8" t="inlineStr">
        <is>
          <t>Persistent benchmark lag</t>
        </is>
      </c>
      <c r="J82" s="11" t="inlineStr">
        <is>
          <t>No flags</t>
        </is>
      </c>
      <c r="K82" s="8" t="inlineStr">
        <is>
          <t>Mar 2026</t>
        </is>
      </c>
    </row>
    <row r="83" ht="55" customHeight="1">
      <c r="A83" s="14" t="n">
        <v>79</v>
      </c>
      <c r="B83" s="16" t="inlineStr">
        <is>
          <t>Quant Mid Cap Fund</t>
        </is>
      </c>
      <c r="C83" s="14" t="inlineStr">
        <is>
          <t>Mid Cap</t>
        </is>
      </c>
      <c r="D83" s="14" t="n">
        <v>15.7</v>
      </c>
      <c r="E83" s="20" t="inlineStr">
        <is>
          <t>Avoid</t>
        </is>
      </c>
      <c r="F83" s="14" t="inlineStr">
        <is>
          <t>Negative</t>
        </is>
      </c>
      <c r="G83" s="14" t="inlineStr">
        <is>
          <t>No Override</t>
        </is>
      </c>
      <c r="H83" s="29" t="inlineStr">
        <is>
          <t>CONCERNS: deep underperformance (-6.67%); above-index downside (DC 105); very high turnover (321%). Quant evidence unfavourable. Switch to higher-rated peers.</t>
        </is>
      </c>
      <c r="I83" s="14" t="inlineStr">
        <is>
          <t>Drawdown amplification</t>
        </is>
      </c>
      <c r="J83" s="16" t="inlineStr">
        <is>
          <t>Turnover 321%</t>
        </is>
      </c>
      <c r="K83" s="14" t="inlineStr">
        <is>
          <t>Mar 2026</t>
        </is>
      </c>
    </row>
    <row r="84" ht="55" customHeight="1">
      <c r="A84" s="8" t="n">
        <v>80</v>
      </c>
      <c r="B84" s="11" t="inlineStr">
        <is>
          <t>Tata Small Cap Fund</t>
        </is>
      </c>
      <c r="C84" s="8" t="inlineStr">
        <is>
          <t>Small Cap</t>
        </is>
      </c>
      <c r="D84" s="8" t="n">
        <v>14.7</v>
      </c>
      <c r="E84" s="20" t="inlineStr">
        <is>
          <t>Avoid</t>
        </is>
      </c>
      <c r="F84" s="8" t="inlineStr">
        <is>
          <t>Negative</t>
        </is>
      </c>
      <c r="G84" s="8" t="inlineStr">
        <is>
          <t>No Override</t>
        </is>
      </c>
      <c r="H84" s="30" t="inlineStr">
        <is>
          <t>STRENGTHS: solid downside protection (DC 90); defensive beta (0.84). CONCERNS: deep underperformance (-9.52%); weak Sharpe (0.16); persistent underperformance (IR -0.34). Quant evidence unfavourable. Switch to higher-rated peers.</t>
        </is>
      </c>
      <c r="I84" s="8" t="inlineStr">
        <is>
          <t>Persistent benchmark lag</t>
        </is>
      </c>
      <c r="J84" s="11" t="inlineStr">
        <is>
          <t>No flags</t>
        </is>
      </c>
      <c r="K84" s="8" t="inlineStr">
        <is>
          <t>Mar 2026</t>
        </is>
      </c>
    </row>
  </sheetData>
  <autoFilter ref="A4:K84"/>
  <mergeCells count="3">
    <mergeCell ref="A2:K2"/>
    <mergeCell ref="A1:K1"/>
    <mergeCell ref="A3:K3"/>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showDropDown="0" showInputMessage="0" showErrorMessage="0" allowBlank="1" type="list">
      <formula1>"No Override,Upgrade,Downgrade"</formula1>
    </dataValidation>
  </dataValidations>
  <pageMargins left="0.75" right="0.75" top="1" bottom="1" header="0.5" footer="0.5"/>
</worksheet>
</file>

<file path=xl/worksheets/sheet9.xml><?xml version="1.0" encoding="utf-8"?>
<worksheet xmlns="http://schemas.openxmlformats.org/spreadsheetml/2006/main">
  <sheetPr>
    <tabColor rgb="006A1B9A"/>
    <outlinePr summaryBelow="1" summaryRight="1"/>
    <pageSetUpPr/>
  </sheetPr>
  <dimension ref="A1:J84"/>
  <sheetViews>
    <sheetView workbookViewId="0">
      <selection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30" customHeight="1">
      <c r="A1" s="22" t="inlineStr">
        <is>
          <t>PORTFOLIO ANALYTICS — Allocation &amp; Concentration</t>
        </is>
      </c>
    </row>
    <row r="3" ht="30" customHeight="1">
      <c r="A3" s="3" t="inlineStr">
        <is>
          <t>MARKET CAP ALLOCATION</t>
        </is>
      </c>
      <c r="B3" s="31" t="n"/>
      <c r="C3" s="31" t="n"/>
      <c r="D3" s="31" t="n"/>
      <c r="E3" s="31" t="n"/>
      <c r="F3" s="31" t="n"/>
      <c r="G3" s="31" t="n"/>
      <c r="H3" s="31" t="n"/>
      <c r="I3" s="31" t="n"/>
      <c r="J3" s="32" t="n"/>
    </row>
    <row r="4" ht="30" customHeight="1">
      <c r="A4" s="4" t="inlineStr">
        <is>
          <t>Fund</t>
        </is>
      </c>
      <c r="B4" s="4" t="inlineStr">
        <is>
          <t>Category</t>
        </is>
      </c>
      <c r="C4" s="4" t="inlineStr">
        <is>
          <t>Score</t>
        </is>
      </c>
      <c r="D4" s="4" t="inlineStr">
        <is>
          <t>Large Cap %</t>
        </is>
      </c>
      <c r="E4" s="4" t="inlineStr">
        <is>
          <t>Mid Cap %</t>
        </is>
      </c>
      <c r="F4" s="4" t="inlineStr">
        <is>
          <t>Small Cap %</t>
        </is>
      </c>
      <c r="G4" s="4" t="inlineStr">
        <is>
          <t>Others %</t>
        </is>
      </c>
      <c r="H4" s="4" t="inlineStr">
        <is>
          <t>Top 10 %</t>
        </is>
      </c>
      <c r="I4" s="4" t="inlineStr">
        <is>
          <t>Holdings</t>
        </is>
      </c>
      <c r="J4" s="4" t="inlineStr">
        <is>
          <t>Turnover %</t>
        </is>
      </c>
    </row>
    <row r="5" ht="30" customHeight="1">
      <c r="A5" s="16" t="inlineStr">
        <is>
          <t>DSP Large Cap Fund</t>
        </is>
      </c>
      <c r="B5" s="14" t="inlineStr">
        <is>
          <t>Large Cap</t>
        </is>
      </c>
      <c r="C5" s="14" t="n">
        <v>92.5</v>
      </c>
      <c r="D5" s="14" t="n">
        <v>79.7</v>
      </c>
      <c r="E5" s="14" t="n">
        <v>5</v>
      </c>
      <c r="F5" s="14" t="n">
        <v>4.7</v>
      </c>
      <c r="G5" s="14" t="n">
        <v>10.6</v>
      </c>
      <c r="H5" s="14" t="n">
        <v>57.6</v>
      </c>
      <c r="I5" s="14" t="n">
        <v>35</v>
      </c>
      <c r="J5" s="14" t="n">
        <v>22</v>
      </c>
    </row>
    <row r="6" ht="30" customHeight="1">
      <c r="A6" s="11" t="inlineStr">
        <is>
          <t>ICICI Pru Large Cap Fund</t>
        </is>
      </c>
      <c r="B6" s="8" t="inlineStr">
        <is>
          <t>Large Cap</t>
        </is>
      </c>
      <c r="C6" s="8" t="n">
        <v>90.7</v>
      </c>
      <c r="D6" s="8" t="n">
        <v>84.59999999999999</v>
      </c>
      <c r="E6" s="8" t="n">
        <v>7.4</v>
      </c>
      <c r="F6" s="8" t="n">
        <v>0.1</v>
      </c>
      <c r="G6" s="8" t="n">
        <v>7.8</v>
      </c>
      <c r="H6" s="8" t="n">
        <v>53.3</v>
      </c>
      <c r="I6" s="8" t="n">
        <v>86</v>
      </c>
      <c r="J6" s="8" t="n">
        <v>18</v>
      </c>
    </row>
    <row r="7" ht="30" customHeight="1">
      <c r="A7" s="16" t="inlineStr">
        <is>
          <t>ICICI Pru Midcap Fund</t>
        </is>
      </c>
      <c r="B7" s="14" t="inlineStr">
        <is>
          <t>Mid Cap</t>
        </is>
      </c>
      <c r="C7" s="14" t="n">
        <v>88.90000000000001</v>
      </c>
      <c r="D7" s="14" t="n">
        <v>13</v>
      </c>
      <c r="E7" s="14" t="n">
        <v>69.40000000000001</v>
      </c>
      <c r="F7" s="14" t="n">
        <v>11.7</v>
      </c>
      <c r="G7" s="14" t="n">
        <v>5.9</v>
      </c>
      <c r="H7" s="14" t="n">
        <v>37.4</v>
      </c>
      <c r="I7" s="14" t="n">
        <v>85</v>
      </c>
      <c r="J7" s="14" t="n">
        <v>25</v>
      </c>
    </row>
    <row r="8" ht="30" customHeight="1">
      <c r="A8" s="11" t="inlineStr">
        <is>
          <t>Aditya Birla SL Flexi Cap Fund</t>
        </is>
      </c>
      <c r="B8" s="8" t="inlineStr">
        <is>
          <t>Flexi Cap</t>
        </is>
      </c>
      <c r="C8" s="8" t="n">
        <v>88.09999999999999</v>
      </c>
      <c r="D8" s="8" t="n">
        <v>57.8</v>
      </c>
      <c r="E8" s="8" t="n">
        <v>22.9</v>
      </c>
      <c r="F8" s="8" t="n">
        <v>16.4</v>
      </c>
      <c r="G8" s="8" t="n">
        <v>2.8</v>
      </c>
      <c r="H8" s="8" t="n">
        <v>32</v>
      </c>
      <c r="I8" s="8" t="n">
        <v>81</v>
      </c>
      <c r="J8" s="8" t="n">
        <v>25</v>
      </c>
    </row>
    <row r="9" ht="30" customHeight="1">
      <c r="A9" s="16" t="inlineStr">
        <is>
          <t>ITI Small Cap Fund</t>
        </is>
      </c>
      <c r="B9" s="14" t="inlineStr">
        <is>
          <t>Small Cap</t>
        </is>
      </c>
      <c r="C9" s="14" t="n">
        <v>84.90000000000001</v>
      </c>
      <c r="D9" s="14" t="n">
        <v>5</v>
      </c>
      <c r="E9" s="14" t="n">
        <v>19.5</v>
      </c>
      <c r="F9" s="14" t="n">
        <v>67</v>
      </c>
      <c r="G9" s="14" t="n">
        <v>8.6</v>
      </c>
      <c r="H9" s="14" t="n">
        <v>22.8</v>
      </c>
      <c r="I9" s="14" t="n">
        <v>83</v>
      </c>
      <c r="J9" s="14" t="n">
        <v>118</v>
      </c>
    </row>
    <row r="10" ht="30" customHeight="1">
      <c r="A10" s="11" t="inlineStr">
        <is>
          <t>Edelweiss Mid Cap Fund</t>
        </is>
      </c>
      <c r="B10" s="8" t="inlineStr">
        <is>
          <t>Mid Cap</t>
        </is>
      </c>
      <c r="C10" s="8" t="n">
        <v>83.09999999999999</v>
      </c>
      <c r="D10" s="8" t="n">
        <v>15.1</v>
      </c>
      <c r="E10" s="8" t="n">
        <v>70.09999999999999</v>
      </c>
      <c r="F10" s="8" t="n">
        <v>9.199999999999999</v>
      </c>
      <c r="G10" s="8" t="n">
        <v>5.6</v>
      </c>
      <c r="H10" s="8" t="n">
        <v>21.1</v>
      </c>
      <c r="I10" s="8" t="n">
        <v>91</v>
      </c>
      <c r="J10" s="8" t="n">
        <v>40</v>
      </c>
    </row>
    <row r="11" ht="30" customHeight="1">
      <c r="A11" s="16" t="inlineStr">
        <is>
          <t>Sundaram Mid Cap Fund</t>
        </is>
      </c>
      <c r="B11" s="14" t="inlineStr">
        <is>
          <t>Mid Cap</t>
        </is>
      </c>
      <c r="C11" s="14" t="n">
        <v>83.09999999999999</v>
      </c>
      <c r="D11" s="14" t="n">
        <v>10</v>
      </c>
      <c r="E11" s="14" t="n">
        <v>69.40000000000001</v>
      </c>
      <c r="F11" s="14" t="n">
        <v>16.7</v>
      </c>
      <c r="G11" s="14" t="n">
        <v>3.9</v>
      </c>
      <c r="H11" s="14" t="n">
        <v>26.2</v>
      </c>
      <c r="I11" s="14" t="n">
        <v>82</v>
      </c>
      <c r="J11" s="14" t="n">
        <v>39</v>
      </c>
    </row>
    <row r="12" ht="30" customHeight="1">
      <c r="A12" s="11" t="inlineStr">
        <is>
          <t>Edelweiss Small Cap Fund</t>
        </is>
      </c>
      <c r="B12" s="8" t="inlineStr">
        <is>
          <t>Small Cap</t>
        </is>
      </c>
      <c r="C12" s="8" t="n">
        <v>81.09999999999999</v>
      </c>
      <c r="D12" s="8" t="inlineStr"/>
      <c r="E12" s="8" t="n">
        <v>25.7</v>
      </c>
      <c r="F12" s="8" t="n">
        <v>69</v>
      </c>
      <c r="G12" s="8" t="n">
        <v>5.2</v>
      </c>
      <c r="H12" s="8" t="n">
        <v>26.5</v>
      </c>
      <c r="I12" s="8" t="n">
        <v>90</v>
      </c>
      <c r="J12" s="8" t="n">
        <v>23</v>
      </c>
    </row>
    <row r="13" ht="30" customHeight="1">
      <c r="A13" s="16" t="inlineStr">
        <is>
          <t>Franklin India Flexi Cap Fund</t>
        </is>
      </c>
      <c r="B13" s="14" t="inlineStr">
        <is>
          <t>Flexi Cap</t>
        </is>
      </c>
      <c r="C13" s="14" t="n">
        <v>80.3</v>
      </c>
      <c r="D13" s="14" t="n">
        <v>76.5</v>
      </c>
      <c r="E13" s="14" t="n">
        <v>11.6</v>
      </c>
      <c r="F13" s="14" t="n">
        <v>7.5</v>
      </c>
      <c r="G13" s="14" t="n">
        <v>4.4</v>
      </c>
      <c r="H13" s="14" t="n">
        <v>44.6</v>
      </c>
      <c r="I13" s="14" t="n">
        <v>57</v>
      </c>
      <c r="J13" s="14" t="n">
        <v>25</v>
      </c>
    </row>
    <row r="14" ht="30" customHeight="1">
      <c r="A14" s="11" t="inlineStr">
        <is>
          <t>Mahindra Manulife Mid Cap Fund</t>
        </is>
      </c>
      <c r="B14" s="8" t="inlineStr">
        <is>
          <t>Mid Cap</t>
        </is>
      </c>
      <c r="C14" s="8" t="n">
        <v>76.7</v>
      </c>
      <c r="D14" s="8" t="n">
        <v>7.8</v>
      </c>
      <c r="E14" s="8" t="n">
        <v>75.7</v>
      </c>
      <c r="F14" s="8" t="n">
        <v>12.9</v>
      </c>
      <c r="G14" s="8" t="n">
        <v>3.6</v>
      </c>
      <c r="H14" s="8" t="n">
        <v>26.6</v>
      </c>
      <c r="I14" s="8" t="n">
        <v>61</v>
      </c>
      <c r="J14" s="8" t="n">
        <v>61</v>
      </c>
    </row>
    <row r="15" ht="30" customHeight="1">
      <c r="A15" s="16" t="inlineStr">
        <is>
          <t>Edelweiss Flexi Cap Fund</t>
        </is>
      </c>
      <c r="B15" s="14" t="inlineStr">
        <is>
          <t>Flexi Cap</t>
        </is>
      </c>
      <c r="C15" s="14" t="n">
        <v>73</v>
      </c>
      <c r="D15" s="14" t="n">
        <v>64.7</v>
      </c>
      <c r="E15" s="14" t="n">
        <v>24.3</v>
      </c>
      <c r="F15" s="14" t="n">
        <v>5.1</v>
      </c>
      <c r="G15" s="14" t="n">
        <v>5.9</v>
      </c>
      <c r="H15" s="14" t="n">
        <v>33.6</v>
      </c>
      <c r="I15" s="14" t="n">
        <v>87</v>
      </c>
      <c r="J15" s="14" t="n">
        <v>45</v>
      </c>
    </row>
    <row r="16" ht="30" customHeight="1">
      <c r="A16" s="11" t="inlineStr">
        <is>
          <t>ITI Flexi Cap Fund</t>
        </is>
      </c>
      <c r="B16" s="8" t="inlineStr">
        <is>
          <t>Flexi Cap</t>
        </is>
      </c>
      <c r="C16" s="8" t="n">
        <v>71.2</v>
      </c>
      <c r="D16" s="8" t="n">
        <v>57.9</v>
      </c>
      <c r="E16" s="8" t="n">
        <v>10.1</v>
      </c>
      <c r="F16" s="8" t="n">
        <v>24</v>
      </c>
      <c r="G16" s="8" t="n">
        <v>8</v>
      </c>
      <c r="H16" s="8" t="n">
        <v>30.7</v>
      </c>
      <c r="I16" s="8" t="n">
        <v>71</v>
      </c>
      <c r="J16" s="8" t="n">
        <v>138</v>
      </c>
    </row>
    <row r="17" ht="30" customHeight="1">
      <c r="A17" s="16" t="inlineStr">
        <is>
          <t>Tata Flexi Cap Fund</t>
        </is>
      </c>
      <c r="B17" s="14" t="inlineStr">
        <is>
          <t>Flexi Cap</t>
        </is>
      </c>
      <c r="C17" s="14" t="n">
        <v>70.7</v>
      </c>
      <c r="D17" s="14" t="n">
        <v>61.9</v>
      </c>
      <c r="E17" s="14" t="n">
        <v>13.9</v>
      </c>
      <c r="F17" s="14" t="n">
        <v>16.2</v>
      </c>
      <c r="G17" s="14" t="n">
        <v>8</v>
      </c>
      <c r="H17" s="14" t="n">
        <v>34.7</v>
      </c>
      <c r="I17" s="14" t="n">
        <v>60</v>
      </c>
      <c r="J17" s="14" t="n">
        <v>56</v>
      </c>
    </row>
    <row r="18" ht="30" customHeight="1">
      <c r="A18" s="11" t="inlineStr">
        <is>
          <t>Motilal Oswal Flexi Cap Fund</t>
        </is>
      </c>
      <c r="B18" s="8" t="inlineStr">
        <is>
          <t>Flexi Cap</t>
        </is>
      </c>
      <c r="C18" s="8" t="n">
        <v>69.40000000000001</v>
      </c>
      <c r="D18" s="8" t="n">
        <v>46.6</v>
      </c>
      <c r="E18" s="8" t="n">
        <v>25.5</v>
      </c>
      <c r="F18" s="8" t="n">
        <v>3.7</v>
      </c>
      <c r="G18" s="8" t="n">
        <v>24.2</v>
      </c>
      <c r="H18" s="8" t="n">
        <v>54.7</v>
      </c>
      <c r="I18" s="8" t="n">
        <v>25</v>
      </c>
      <c r="J18" s="8" t="n">
        <v>137</v>
      </c>
    </row>
    <row r="19" ht="30" customHeight="1">
      <c r="A19" s="16" t="inlineStr">
        <is>
          <t>Sundaram Small Cap Fund</t>
        </is>
      </c>
      <c r="B19" s="14" t="inlineStr">
        <is>
          <t>Small Cap</t>
        </is>
      </c>
      <c r="C19" s="14" t="n">
        <v>69.09999999999999</v>
      </c>
      <c r="D19" s="14" t="n">
        <v>7.7</v>
      </c>
      <c r="E19" s="14" t="n">
        <v>4.1</v>
      </c>
      <c r="F19" s="14" t="n">
        <v>81.90000000000001</v>
      </c>
      <c r="G19" s="14" t="n">
        <v>6.2</v>
      </c>
      <c r="H19" s="14" t="n">
        <v>27.7</v>
      </c>
      <c r="I19" s="14" t="n">
        <v>68</v>
      </c>
      <c r="J19" s="14" t="n">
        <v>33</v>
      </c>
    </row>
    <row r="20" ht="30" customHeight="1">
      <c r="A20" s="11" t="inlineStr">
        <is>
          <t>Tata Mid Cap Fund</t>
        </is>
      </c>
      <c r="B20" s="8" t="inlineStr">
        <is>
          <t>Mid Cap</t>
        </is>
      </c>
      <c r="C20" s="8" t="n">
        <v>68.2</v>
      </c>
      <c r="D20" s="8" t="n">
        <v>9.199999999999999</v>
      </c>
      <c r="E20" s="8" t="n">
        <v>72.2</v>
      </c>
      <c r="F20" s="8" t="n">
        <v>12</v>
      </c>
      <c r="G20" s="8" t="n">
        <v>6.5</v>
      </c>
      <c r="H20" s="8" t="n">
        <v>26.6</v>
      </c>
      <c r="I20" s="8" t="n">
        <v>68</v>
      </c>
      <c r="J20" s="8" t="n">
        <v>31</v>
      </c>
    </row>
    <row r="21" ht="30" customHeight="1">
      <c r="A21" s="16" t="inlineStr">
        <is>
          <t>WOC Mid Cap Fund</t>
        </is>
      </c>
      <c r="B21" s="14" t="inlineStr">
        <is>
          <t>Mid Cap</t>
        </is>
      </c>
      <c r="C21" s="14" t="n">
        <v>67.59999999999999</v>
      </c>
      <c r="D21" s="14" t="n">
        <v>5.7</v>
      </c>
      <c r="E21" s="14" t="n">
        <v>62.7</v>
      </c>
      <c r="F21" s="14" t="n">
        <v>18</v>
      </c>
      <c r="G21" s="14" t="n">
        <v>13.6</v>
      </c>
      <c r="H21" s="14" t="n">
        <v>29.3</v>
      </c>
      <c r="I21" s="14" t="n">
        <v>122</v>
      </c>
      <c r="J21" s="14" t="n">
        <v>235</v>
      </c>
    </row>
    <row r="22" ht="30" customHeight="1">
      <c r="A22" s="11" t="inlineStr">
        <is>
          <t>HDFC Large Cap Fund</t>
        </is>
      </c>
      <c r="B22" s="8" t="inlineStr">
        <is>
          <t>Large Cap</t>
        </is>
      </c>
      <c r="C22" s="8" t="n">
        <v>67.5</v>
      </c>
      <c r="D22" s="8" t="n">
        <v>85.5</v>
      </c>
      <c r="E22" s="8" t="n">
        <v>13</v>
      </c>
      <c r="F22" s="8" t="inlineStr"/>
      <c r="G22" s="8" t="n">
        <v>1.5</v>
      </c>
      <c r="H22" s="8" t="n">
        <v>52.3</v>
      </c>
      <c r="I22" s="8" t="n">
        <v>49</v>
      </c>
      <c r="J22" s="8" t="n">
        <v>29</v>
      </c>
    </row>
    <row r="23" ht="30" customHeight="1">
      <c r="A23" s="16" t="inlineStr">
        <is>
          <t>Nippon India Large Cap Fund</t>
        </is>
      </c>
      <c r="B23" s="14" t="inlineStr">
        <is>
          <t>Large Cap</t>
        </is>
      </c>
      <c r="C23" s="14" t="n">
        <v>66.8</v>
      </c>
      <c r="D23" s="14" t="n">
        <v>84.3</v>
      </c>
      <c r="E23" s="14" t="n">
        <v>12.2</v>
      </c>
      <c r="F23" s="14" t="n">
        <v>2.8</v>
      </c>
      <c r="G23" s="14" t="n">
        <v>0.7</v>
      </c>
      <c r="H23" s="14" t="n">
        <v>44.8</v>
      </c>
      <c r="I23" s="14" t="n">
        <v>70</v>
      </c>
      <c r="J23" s="14" t="n">
        <v>24</v>
      </c>
    </row>
    <row r="24" ht="30" customHeight="1">
      <c r="A24" s="11" t="inlineStr">
        <is>
          <t>Bandhan Large Cap Fund</t>
        </is>
      </c>
      <c r="B24" s="8" t="inlineStr">
        <is>
          <t>Large Cap</t>
        </is>
      </c>
      <c r="C24" s="8" t="n">
        <v>65.8</v>
      </c>
      <c r="D24" s="8" t="n">
        <v>84.3</v>
      </c>
      <c r="E24" s="8" t="n">
        <v>7.1</v>
      </c>
      <c r="F24" s="8" t="n">
        <v>7</v>
      </c>
      <c r="G24" s="8" t="n">
        <v>1.5</v>
      </c>
      <c r="H24" s="8" t="n">
        <v>47.7</v>
      </c>
      <c r="I24" s="8" t="n">
        <v>67</v>
      </c>
      <c r="J24" s="8" t="n">
        <v>81</v>
      </c>
    </row>
    <row r="25" ht="30" customHeight="1">
      <c r="A25" s="16" t="inlineStr">
        <is>
          <t>Baroda BNP Paribas Mid Cap Fund</t>
        </is>
      </c>
      <c r="B25" s="14" t="inlineStr">
        <is>
          <t>Mid Cap</t>
        </is>
      </c>
      <c r="C25" s="14" t="n">
        <v>65</v>
      </c>
      <c r="D25" s="14" t="n">
        <v>7.8</v>
      </c>
      <c r="E25" s="14" t="n">
        <v>68.2</v>
      </c>
      <c r="F25" s="14" t="n">
        <v>18.3</v>
      </c>
      <c r="G25" s="14" t="n">
        <v>5.7</v>
      </c>
      <c r="H25" s="14" t="n">
        <v>25.9</v>
      </c>
      <c r="I25" s="14" t="n">
        <v>68</v>
      </c>
      <c r="J25" s="14" t="n">
        <v>67</v>
      </c>
    </row>
    <row r="26" ht="30" customHeight="1">
      <c r="A26" s="11" t="inlineStr">
        <is>
          <t>WOC Flexi Cap Fund</t>
        </is>
      </c>
      <c r="B26" s="8" t="inlineStr">
        <is>
          <t>Flexi Cap</t>
        </is>
      </c>
      <c r="C26" s="8" t="n">
        <v>64.7</v>
      </c>
      <c r="D26" s="8" t="n">
        <v>53.4</v>
      </c>
      <c r="E26" s="8" t="n">
        <v>5.9</v>
      </c>
      <c r="F26" s="8" t="n">
        <v>26.7</v>
      </c>
      <c r="G26" s="8" t="n">
        <v>14</v>
      </c>
      <c r="H26" s="8" t="n">
        <v>35.7</v>
      </c>
      <c r="I26" s="8" t="n">
        <v>156</v>
      </c>
      <c r="J26" s="8" t="n">
        <v>156</v>
      </c>
    </row>
    <row r="27" ht="30" customHeight="1">
      <c r="A27" s="16" t="inlineStr">
        <is>
          <t>Invesco India Smallcap Fund</t>
        </is>
      </c>
      <c r="B27" s="14" t="inlineStr">
        <is>
          <t>Small Cap</t>
        </is>
      </c>
      <c r="C27" s="14" t="n">
        <v>63.6</v>
      </c>
      <c r="D27" s="14" t="n">
        <v>11.3</v>
      </c>
      <c r="E27" s="14" t="n">
        <v>20.2</v>
      </c>
      <c r="F27" s="14" t="n">
        <v>66.09999999999999</v>
      </c>
      <c r="G27" s="14" t="n">
        <v>2.4</v>
      </c>
      <c r="H27" s="14" t="n">
        <v>38.7</v>
      </c>
      <c r="I27" s="14" t="n">
        <v>66</v>
      </c>
      <c r="J27" s="14" t="n">
        <v>52</v>
      </c>
    </row>
    <row r="28" ht="30" customHeight="1">
      <c r="A28" s="11" t="inlineStr">
        <is>
          <t>Mirae Asset Flexi Cap Fund</t>
        </is>
      </c>
      <c r="B28" s="8" t="inlineStr">
        <is>
          <t>Flexi Cap</t>
        </is>
      </c>
      <c r="C28" s="8" t="n">
        <v>63.1</v>
      </c>
      <c r="D28" s="8" t="n">
        <v>62.7</v>
      </c>
      <c r="E28" s="8" t="n">
        <v>20.4</v>
      </c>
      <c r="F28" s="8" t="n">
        <v>13.7</v>
      </c>
      <c r="G28" s="8" t="n">
        <v>3.1</v>
      </c>
      <c r="H28" s="8" t="n">
        <v>32.2</v>
      </c>
      <c r="I28" s="8" t="n">
        <v>88</v>
      </c>
      <c r="J28" s="8" t="n">
        <v>28</v>
      </c>
    </row>
    <row r="29" ht="30" customHeight="1">
      <c r="A29" s="16" t="inlineStr">
        <is>
          <t>Bank of India Flexi Cap Fund</t>
        </is>
      </c>
      <c r="B29" s="14" t="inlineStr">
        <is>
          <t>Flexi Cap</t>
        </is>
      </c>
      <c r="C29" s="14" t="n">
        <v>62.9</v>
      </c>
      <c r="D29" s="14" t="n">
        <v>43.5</v>
      </c>
      <c r="E29" s="14" t="n">
        <v>16.2</v>
      </c>
      <c r="F29" s="14" t="n">
        <v>18.4</v>
      </c>
      <c r="G29" s="14" t="n">
        <v>21.9</v>
      </c>
      <c r="H29" s="14" t="n">
        <v>31.7</v>
      </c>
      <c r="I29" s="14" t="n">
        <v>64</v>
      </c>
      <c r="J29" s="14" t="n">
        <v>68</v>
      </c>
    </row>
    <row r="30" ht="30" customHeight="1">
      <c r="A30" s="11" t="inlineStr">
        <is>
          <t>Baroda BNP Paribas Large Cap Fund</t>
        </is>
      </c>
      <c r="B30" s="8" t="inlineStr">
        <is>
          <t>Large Cap</t>
        </is>
      </c>
      <c r="C30" s="8" t="n">
        <v>62.8</v>
      </c>
      <c r="D30" s="8" t="n">
        <v>85.3</v>
      </c>
      <c r="E30" s="8" t="n">
        <v>10.8</v>
      </c>
      <c r="F30" s="8" t="inlineStr"/>
      <c r="G30" s="8" t="n">
        <v>3.9</v>
      </c>
      <c r="H30" s="8" t="n">
        <v>42.7</v>
      </c>
      <c r="I30" s="8" t="n">
        <v>57</v>
      </c>
      <c r="J30" s="8" t="n">
        <v>65</v>
      </c>
    </row>
    <row r="31" ht="30" customHeight="1">
      <c r="A31" s="16" t="inlineStr">
        <is>
          <t>Bank of India Small Cap Fund</t>
        </is>
      </c>
      <c r="B31" s="14" t="inlineStr">
        <is>
          <t>Small Cap</t>
        </is>
      </c>
      <c r="C31" s="14" t="n">
        <v>59.5</v>
      </c>
      <c r="D31" s="14" t="n">
        <v>2.8</v>
      </c>
      <c r="E31" s="14" t="n">
        <v>11.8</v>
      </c>
      <c r="F31" s="14" t="n">
        <v>67.40000000000001</v>
      </c>
      <c r="G31" s="14" t="n">
        <v>18</v>
      </c>
      <c r="H31" s="14" t="n">
        <v>26.2</v>
      </c>
      <c r="I31" s="14" t="n">
        <v>92</v>
      </c>
      <c r="J31" s="14" t="n">
        <v>96</v>
      </c>
    </row>
    <row r="32" ht="30" customHeight="1">
      <c r="A32" s="11" t="inlineStr">
        <is>
          <t>Mahindra Manulife Small Cap Fund</t>
        </is>
      </c>
      <c r="B32" s="8" t="inlineStr">
        <is>
          <t>Small Cap</t>
        </is>
      </c>
      <c r="C32" s="8" t="n">
        <v>56.2</v>
      </c>
      <c r="D32" s="8" t="n">
        <v>3.1</v>
      </c>
      <c r="E32" s="8" t="n">
        <v>19.3</v>
      </c>
      <c r="F32" s="8" t="n">
        <v>66.2</v>
      </c>
      <c r="G32" s="8" t="n">
        <v>11.4</v>
      </c>
      <c r="H32" s="8" t="n">
        <v>23</v>
      </c>
      <c r="I32" s="8" t="n">
        <v>74</v>
      </c>
      <c r="J32" s="8" t="n">
        <v>102</v>
      </c>
    </row>
    <row r="33" ht="30" customHeight="1">
      <c r="A33" s="16" t="inlineStr">
        <is>
          <t>HSBC Midcap Fund</t>
        </is>
      </c>
      <c r="B33" s="14" t="inlineStr">
        <is>
          <t>Mid Cap</t>
        </is>
      </c>
      <c r="C33" s="14" t="n">
        <v>56.1</v>
      </c>
      <c r="D33" s="14" t="n">
        <v>15.3</v>
      </c>
      <c r="E33" s="14" t="n">
        <v>64.2</v>
      </c>
      <c r="F33" s="14" t="n">
        <v>15.6</v>
      </c>
      <c r="G33" s="14" t="n">
        <v>4.9</v>
      </c>
      <c r="H33" s="14" t="n">
        <v>39.9</v>
      </c>
      <c r="I33" s="14" t="n">
        <v>75</v>
      </c>
      <c r="J33" s="14" t="n">
        <v>99</v>
      </c>
    </row>
    <row r="34" ht="30" customHeight="1">
      <c r="A34" s="11" t="inlineStr">
        <is>
          <t>Kotak Large Cap Fund(IDCW)</t>
        </is>
      </c>
      <c r="B34" s="8" t="inlineStr">
        <is>
          <t>Large Cap</t>
        </is>
      </c>
      <c r="C34" s="8" t="n">
        <v>56.1</v>
      </c>
      <c r="D34" s="8" t="n">
        <v>86.40000000000001</v>
      </c>
      <c r="E34" s="8" t="n">
        <v>8.1</v>
      </c>
      <c r="F34" s="8" t="n">
        <v>3.3</v>
      </c>
      <c r="G34" s="8" t="n">
        <v>2.2</v>
      </c>
      <c r="H34" s="8" t="n">
        <v>46.4</v>
      </c>
      <c r="I34" s="8" t="n">
        <v>63</v>
      </c>
      <c r="J34" s="8" t="n">
        <v>27</v>
      </c>
    </row>
    <row r="35" ht="30" customHeight="1">
      <c r="A35" s="16" t="inlineStr">
        <is>
          <t>HSBC Flexi Cap Fund</t>
        </is>
      </c>
      <c r="B35" s="14" t="inlineStr">
        <is>
          <t>Flexi Cap</t>
        </is>
      </c>
      <c r="C35" s="14" t="n">
        <v>55.8</v>
      </c>
      <c r="D35" s="14" t="n">
        <v>54.7</v>
      </c>
      <c r="E35" s="14" t="n">
        <v>20.8</v>
      </c>
      <c r="F35" s="14" t="n">
        <v>20.1</v>
      </c>
      <c r="G35" s="14" t="n">
        <v>4.4</v>
      </c>
      <c r="H35" s="14" t="n">
        <v>27.7</v>
      </c>
      <c r="I35" s="14" t="n">
        <v>85</v>
      </c>
      <c r="J35" s="14" t="n">
        <v>33</v>
      </c>
    </row>
    <row r="36" ht="30" customHeight="1">
      <c r="A36" s="11" t="inlineStr">
        <is>
          <t>ICICI Pru Flexicap Fund</t>
        </is>
      </c>
      <c r="B36" s="8" t="inlineStr">
        <is>
          <t>Flexi Cap</t>
        </is>
      </c>
      <c r="C36" s="8" t="n">
        <v>55.7</v>
      </c>
      <c r="D36" s="8" t="n">
        <v>63</v>
      </c>
      <c r="E36" s="8" t="n">
        <v>8.300000000000001</v>
      </c>
      <c r="F36" s="8" t="n">
        <v>25.1</v>
      </c>
      <c r="G36" s="8" t="n">
        <v>3.7</v>
      </c>
      <c r="H36" s="8" t="n">
        <v>47.1</v>
      </c>
      <c r="I36" s="8" t="n">
        <v>81</v>
      </c>
      <c r="J36" s="8" t="n">
        <v>21</v>
      </c>
    </row>
    <row r="37" ht="30" customHeight="1">
      <c r="A37" s="16" t="inlineStr">
        <is>
          <t>ICICI Pru Smallcap Fund</t>
        </is>
      </c>
      <c r="B37" s="14" t="inlineStr">
        <is>
          <t>Small Cap</t>
        </is>
      </c>
      <c r="C37" s="14" t="n">
        <v>55.3</v>
      </c>
      <c r="D37" s="14" t="n">
        <v>11.5</v>
      </c>
      <c r="E37" s="14" t="n">
        <v>3.4</v>
      </c>
      <c r="F37" s="14" t="n">
        <v>76.2</v>
      </c>
      <c r="G37" s="14" t="n">
        <v>8.800000000000001</v>
      </c>
      <c r="H37" s="14" t="n">
        <v>24.8</v>
      </c>
      <c r="I37" s="14" t="n">
        <v>129</v>
      </c>
      <c r="J37" s="14" t="n">
        <v>50</v>
      </c>
    </row>
    <row r="38" ht="30" customHeight="1">
      <c r="A38" s="11" t="inlineStr">
        <is>
          <t>DSP Flexi Cap Fund-Reg(IDCW)</t>
        </is>
      </c>
      <c r="B38" s="8" t="inlineStr">
        <is>
          <t>Flexi Cap</t>
        </is>
      </c>
      <c r="C38" s="8" t="n">
        <v>55.1</v>
      </c>
      <c r="D38" s="8" t="n">
        <v>60.2</v>
      </c>
      <c r="E38" s="8" t="n">
        <v>23.6</v>
      </c>
      <c r="F38" s="8" t="n">
        <v>11.9</v>
      </c>
      <c r="G38" s="8" t="n">
        <v>4.3</v>
      </c>
      <c r="H38" s="8" t="n">
        <v>42.5</v>
      </c>
      <c r="I38" s="8" t="n">
        <v>67</v>
      </c>
      <c r="J38" s="8" t="n">
        <v>25</v>
      </c>
    </row>
    <row r="39" ht="30" customHeight="1">
      <c r="A39" s="16" t="inlineStr">
        <is>
          <t>ITI Mid Cap Fund</t>
        </is>
      </c>
      <c r="B39" s="14" t="inlineStr">
        <is>
          <t>Mid Cap</t>
        </is>
      </c>
      <c r="C39" s="14" t="n">
        <v>53.9</v>
      </c>
      <c r="D39" s="14" t="n">
        <v>16.5</v>
      </c>
      <c r="E39" s="14" t="n">
        <v>67</v>
      </c>
      <c r="F39" s="14" t="n">
        <v>12.3</v>
      </c>
      <c r="G39" s="14" t="n">
        <v>4.3</v>
      </c>
      <c r="H39" s="14" t="n">
        <v>20</v>
      </c>
      <c r="I39" s="14" t="n">
        <v>81</v>
      </c>
      <c r="J39" s="14" t="n">
        <v>127</v>
      </c>
    </row>
    <row r="40" ht="30" customHeight="1">
      <c r="A40" s="11" t="inlineStr">
        <is>
          <t>Franklin India Small Cap Fund</t>
        </is>
      </c>
      <c r="B40" s="8" t="inlineStr">
        <is>
          <t>Small Cap</t>
        </is>
      </c>
      <c r="C40" s="8" t="n">
        <v>53.2</v>
      </c>
      <c r="D40" s="8" t="n">
        <v>6.6</v>
      </c>
      <c r="E40" s="8" t="n">
        <v>2.9</v>
      </c>
      <c r="F40" s="8" t="n">
        <v>81.8</v>
      </c>
      <c r="G40" s="8" t="n">
        <v>8.699999999999999</v>
      </c>
      <c r="H40" s="8" t="n">
        <v>20.6</v>
      </c>
      <c r="I40" s="8" t="n">
        <v>94</v>
      </c>
      <c r="J40" s="8" t="n">
        <v>30</v>
      </c>
    </row>
    <row r="41" ht="30" customHeight="1">
      <c r="A41" s="16" t="inlineStr">
        <is>
          <t>Invesco India Midcap Fund</t>
        </is>
      </c>
      <c r="B41" s="14" t="inlineStr">
        <is>
          <t>Mid Cap</t>
        </is>
      </c>
      <c r="C41" s="14" t="n">
        <v>52.8</v>
      </c>
      <c r="D41" s="14" t="n">
        <v>15.9</v>
      </c>
      <c r="E41" s="14" t="n">
        <v>65.09999999999999</v>
      </c>
      <c r="F41" s="14" t="n">
        <v>18.3</v>
      </c>
      <c r="G41" s="14" t="n">
        <v>0.6</v>
      </c>
      <c r="H41" s="14" t="n">
        <v>47.4</v>
      </c>
      <c r="I41" s="14" t="n">
        <v>45</v>
      </c>
      <c r="J41" s="14" t="n">
        <v>31</v>
      </c>
    </row>
    <row r="42" ht="30" customHeight="1">
      <c r="A42" s="11" t="inlineStr">
        <is>
          <t>Franklin India Mid Cap Fund</t>
        </is>
      </c>
      <c r="B42" s="8" t="inlineStr">
        <is>
          <t>Mid Cap</t>
        </is>
      </c>
      <c r="C42" s="8" t="n">
        <v>52.2</v>
      </c>
      <c r="D42" s="8" t="n">
        <v>15.2</v>
      </c>
      <c r="E42" s="8" t="n">
        <v>66.59999999999999</v>
      </c>
      <c r="F42" s="8" t="n">
        <v>14</v>
      </c>
      <c r="G42" s="8" t="n">
        <v>4.2</v>
      </c>
      <c r="H42" s="8" t="n">
        <v>21</v>
      </c>
      <c r="I42" s="8" t="n">
        <v>87</v>
      </c>
      <c r="J42" s="8" t="n">
        <v>32</v>
      </c>
    </row>
    <row r="43" ht="30" customHeight="1">
      <c r="A43" s="16" t="inlineStr">
        <is>
          <t>JM Midcap Fund</t>
        </is>
      </c>
      <c r="B43" s="14" t="inlineStr">
        <is>
          <t>Mid Cap</t>
        </is>
      </c>
      <c r="C43" s="14" t="n">
        <v>49.8</v>
      </c>
      <c r="D43" s="14" t="n">
        <v>5.5</v>
      </c>
      <c r="E43" s="14" t="n">
        <v>69.40000000000001</v>
      </c>
      <c r="F43" s="14" t="n">
        <v>22.7</v>
      </c>
      <c r="G43" s="14" t="n">
        <v>2.3</v>
      </c>
      <c r="H43" s="14" t="n">
        <v>33.3</v>
      </c>
      <c r="I43" s="14" t="n">
        <v>62</v>
      </c>
      <c r="J43" s="14" t="n">
        <v>117</v>
      </c>
    </row>
    <row r="44" ht="30" customHeight="1">
      <c r="A44" s="11" t="inlineStr">
        <is>
          <t>Bandhan Flexi Cap Fund</t>
        </is>
      </c>
      <c r="B44" s="8" t="inlineStr">
        <is>
          <t>Flexi Cap</t>
        </is>
      </c>
      <c r="C44" s="8" t="n">
        <v>47.7</v>
      </c>
      <c r="D44" s="8" t="n">
        <v>66.40000000000001</v>
      </c>
      <c r="E44" s="8" t="n">
        <v>13.5</v>
      </c>
      <c r="F44" s="8" t="n">
        <v>16.3</v>
      </c>
      <c r="G44" s="8" t="n">
        <v>3.8</v>
      </c>
      <c r="H44" s="8" t="n">
        <v>35.8</v>
      </c>
      <c r="I44" s="8" t="n">
        <v>94</v>
      </c>
      <c r="J44" s="8" t="n">
        <v>121</v>
      </c>
    </row>
    <row r="45" ht="30" customHeight="1">
      <c r="A45" s="16" t="inlineStr">
        <is>
          <t>JM Flexicap Fund</t>
        </is>
      </c>
      <c r="B45" s="14" t="inlineStr">
        <is>
          <t>Flexi Cap</t>
        </is>
      </c>
      <c r="C45" s="14" t="n">
        <v>47.4</v>
      </c>
      <c r="D45" s="14" t="n">
        <v>62.7</v>
      </c>
      <c r="E45" s="14" t="n">
        <v>15</v>
      </c>
      <c r="F45" s="14" t="n">
        <v>18.1</v>
      </c>
      <c r="G45" s="14" t="n">
        <v>4.2</v>
      </c>
      <c r="H45" s="14" t="n">
        <v>30.2</v>
      </c>
      <c r="I45" s="14" t="n">
        <v>77</v>
      </c>
      <c r="J45" s="14" t="n">
        <v>171</v>
      </c>
    </row>
    <row r="46" ht="30" customHeight="1">
      <c r="A46" s="11" t="inlineStr">
        <is>
          <t>SBI Large Cap Fund</t>
        </is>
      </c>
      <c r="B46" s="8" t="inlineStr">
        <is>
          <t>Large Cap</t>
        </is>
      </c>
      <c r="C46" s="8" t="n">
        <v>46.4</v>
      </c>
      <c r="D46" s="8" t="n">
        <v>81.7</v>
      </c>
      <c r="E46" s="8" t="n">
        <v>10.7</v>
      </c>
      <c r="F46" s="8" t="n">
        <v>2.9</v>
      </c>
      <c r="G46" s="8" t="n">
        <v>4.7</v>
      </c>
      <c r="H46" s="8" t="n">
        <v>48.5</v>
      </c>
      <c r="I46" s="8" t="n">
        <v>50</v>
      </c>
      <c r="J46" s="8" t="n">
        <v>61</v>
      </c>
    </row>
    <row r="47" ht="30" customHeight="1">
      <c r="A47" s="16" t="inlineStr">
        <is>
          <t>Franklin India Large Cap Fund</t>
        </is>
      </c>
      <c r="B47" s="14" t="inlineStr">
        <is>
          <t>Large Cap</t>
        </is>
      </c>
      <c r="C47" s="14" t="n">
        <v>45.2</v>
      </c>
      <c r="D47" s="14" t="n">
        <v>83.09999999999999</v>
      </c>
      <c r="E47" s="14" t="n">
        <v>8.800000000000001</v>
      </c>
      <c r="F47" s="14" t="n">
        <v>3.9</v>
      </c>
      <c r="G47" s="14" t="n">
        <v>4.2</v>
      </c>
      <c r="H47" s="14" t="n">
        <v>51.4</v>
      </c>
      <c r="I47" s="14" t="n">
        <v>43</v>
      </c>
      <c r="J47" s="14" t="n">
        <v>62</v>
      </c>
    </row>
    <row r="48" ht="30" customHeight="1">
      <c r="A48" s="11" t="inlineStr">
        <is>
          <t>Union Small Cap Fund</t>
        </is>
      </c>
      <c r="B48" s="8" t="inlineStr">
        <is>
          <t>Small Cap</t>
        </is>
      </c>
      <c r="C48" s="8" t="n">
        <v>44.9</v>
      </c>
      <c r="D48" s="8" t="inlineStr"/>
      <c r="E48" s="8" t="n">
        <v>22.1</v>
      </c>
      <c r="F48" s="8" t="n">
        <v>73.2</v>
      </c>
      <c r="G48" s="8" t="n">
        <v>4.6</v>
      </c>
      <c r="H48" s="8" t="n">
        <v>33.8</v>
      </c>
      <c r="I48" s="8" t="n">
        <v>71</v>
      </c>
      <c r="J48" s="8" t="n">
        <v>51</v>
      </c>
    </row>
    <row r="49" ht="30" customHeight="1">
      <c r="A49" s="16" t="inlineStr">
        <is>
          <t>Invesco India Flexi Cap Fund</t>
        </is>
      </c>
      <c r="B49" s="14" t="inlineStr">
        <is>
          <t>Flexi Cap</t>
        </is>
      </c>
      <c r="C49" s="14" t="n">
        <v>44.9</v>
      </c>
      <c r="D49" s="14" t="n">
        <v>49.1</v>
      </c>
      <c r="E49" s="14" t="n">
        <v>27.8</v>
      </c>
      <c r="F49" s="14" t="n">
        <v>17.6</v>
      </c>
      <c r="G49" s="14" t="n">
        <v>5.5</v>
      </c>
      <c r="H49" s="14" t="n">
        <v>35</v>
      </c>
      <c r="I49" s="14" t="n">
        <v>69</v>
      </c>
      <c r="J49" s="14" t="n">
        <v>38</v>
      </c>
    </row>
    <row r="50" ht="30" customHeight="1">
      <c r="A50" s="11" t="inlineStr">
        <is>
          <t>Quant Flexi Cap Fund</t>
        </is>
      </c>
      <c r="B50" s="8" t="inlineStr">
        <is>
          <t>Flexi Cap</t>
        </is>
      </c>
      <c r="C50" s="8" t="n">
        <v>44</v>
      </c>
      <c r="D50" s="8" t="n">
        <v>55.4</v>
      </c>
      <c r="E50" s="8" t="n">
        <v>10.3</v>
      </c>
      <c r="F50" s="8" t="n">
        <v>5.2</v>
      </c>
      <c r="G50" s="8" t="n">
        <v>29.1</v>
      </c>
      <c r="H50" s="8" t="n">
        <v>51.9</v>
      </c>
      <c r="I50" s="8" t="n">
        <v>44</v>
      </c>
      <c r="J50" s="8" t="n">
        <v>283</v>
      </c>
    </row>
    <row r="51" ht="30" customHeight="1">
      <c r="A51" s="16" t="inlineStr">
        <is>
          <t>Mahindra Manulife Flexi Cap Fund</t>
        </is>
      </c>
      <c r="B51" s="14" t="inlineStr">
        <is>
          <t>Flexi Cap</t>
        </is>
      </c>
      <c r="C51" s="14" t="n">
        <v>43.6</v>
      </c>
      <c r="D51" s="14" t="n">
        <v>69.2</v>
      </c>
      <c r="E51" s="14" t="n">
        <v>20.2</v>
      </c>
      <c r="F51" s="14" t="n">
        <v>8.4</v>
      </c>
      <c r="G51" s="14" t="n">
        <v>2.1</v>
      </c>
      <c r="H51" s="14" t="n">
        <v>42.6</v>
      </c>
      <c r="I51" s="14" t="n">
        <v>71</v>
      </c>
      <c r="J51" s="14" t="n">
        <v>60</v>
      </c>
    </row>
    <row r="52" ht="30" customHeight="1">
      <c r="A52" s="11" t="inlineStr">
        <is>
          <t>UTI Small Cap Fund</t>
        </is>
      </c>
      <c r="B52" s="8" t="inlineStr">
        <is>
          <t>Small Cap</t>
        </is>
      </c>
      <c r="C52" s="8" t="n">
        <v>42.2</v>
      </c>
      <c r="D52" s="8" t="inlineStr"/>
      <c r="E52" s="8" t="n">
        <v>12.3</v>
      </c>
      <c r="F52" s="8" t="n">
        <v>79.90000000000001</v>
      </c>
      <c r="G52" s="8" t="n">
        <v>7.8</v>
      </c>
      <c r="H52" s="8" t="n">
        <v>23.7</v>
      </c>
      <c r="I52" s="8" t="n">
        <v>100</v>
      </c>
      <c r="J52" s="8" t="n">
        <v>33</v>
      </c>
    </row>
    <row r="53" ht="30" customHeight="1">
      <c r="A53" s="16" t="inlineStr">
        <is>
          <t>Aditya Birla SL Large Cap Fund</t>
        </is>
      </c>
      <c r="B53" s="14" t="inlineStr">
        <is>
          <t>Large Cap</t>
        </is>
      </c>
      <c r="C53" s="14" t="n">
        <v>42</v>
      </c>
      <c r="D53" s="14" t="n">
        <v>82.90000000000001</v>
      </c>
      <c r="E53" s="14" t="n">
        <v>6.4</v>
      </c>
      <c r="F53" s="14" t="n">
        <v>7.5</v>
      </c>
      <c r="G53" s="14" t="n">
        <v>3.2</v>
      </c>
      <c r="H53" s="14" t="n">
        <v>46.8</v>
      </c>
      <c r="I53" s="14" t="n">
        <v>88</v>
      </c>
      <c r="J53" s="14" t="n">
        <v>52</v>
      </c>
    </row>
    <row r="54" ht="30" customHeight="1">
      <c r="A54" s="11" t="inlineStr">
        <is>
          <t>Canara Rob Large Cap Fund</t>
        </is>
      </c>
      <c r="B54" s="8" t="inlineStr">
        <is>
          <t>Large Cap</t>
        </is>
      </c>
      <c r="C54" s="8" t="n">
        <v>41.8</v>
      </c>
      <c r="D54" s="8" t="n">
        <v>89.8</v>
      </c>
      <c r="E54" s="8" t="n">
        <v>7</v>
      </c>
      <c r="F54" s="8" t="inlineStr"/>
      <c r="G54" s="8" t="n">
        <v>3.1</v>
      </c>
      <c r="H54" s="8" t="n">
        <v>48.5</v>
      </c>
      <c r="I54" s="8" t="n">
        <v>62</v>
      </c>
      <c r="J54" s="8" t="n">
        <v>15</v>
      </c>
    </row>
    <row r="55" ht="30" customHeight="1">
      <c r="A55" s="16" t="inlineStr">
        <is>
          <t>Nippon India Flexi Cap Fund</t>
        </is>
      </c>
      <c r="B55" s="14" t="inlineStr">
        <is>
          <t>Flexi Cap</t>
        </is>
      </c>
      <c r="C55" s="14" t="n">
        <v>41.1</v>
      </c>
      <c r="D55" s="14" t="n">
        <v>65</v>
      </c>
      <c r="E55" s="14" t="n">
        <v>21.2</v>
      </c>
      <c r="F55" s="14" t="n">
        <v>12.8</v>
      </c>
      <c r="G55" s="14" t="n">
        <v>1.1</v>
      </c>
      <c r="H55" s="14" t="n">
        <v>35.5</v>
      </c>
      <c r="I55" s="14" t="n">
        <v>89</v>
      </c>
      <c r="J55" s="14" t="n">
        <v>30</v>
      </c>
    </row>
    <row r="56" ht="30" customHeight="1">
      <c r="A56" s="11" t="inlineStr">
        <is>
          <t>Mirae Asset Midcap Fund</t>
        </is>
      </c>
      <c r="B56" s="8" t="inlineStr">
        <is>
          <t>Mid Cap</t>
        </is>
      </c>
      <c r="C56" s="8" t="n">
        <v>40.6</v>
      </c>
      <c r="D56" s="8" t="n">
        <v>10.6</v>
      </c>
      <c r="E56" s="8" t="n">
        <v>66.3</v>
      </c>
      <c r="F56" s="8" t="n">
        <v>19.2</v>
      </c>
      <c r="G56" s="8" t="n">
        <v>3.9</v>
      </c>
      <c r="H56" s="8" t="n">
        <v>31</v>
      </c>
      <c r="I56" s="8" t="n">
        <v>68</v>
      </c>
      <c r="J56" s="8" t="n">
        <v>111</v>
      </c>
    </row>
    <row r="57" ht="30" customHeight="1">
      <c r="A57" s="16" t="inlineStr">
        <is>
          <t>DSP Midcap Fund</t>
        </is>
      </c>
      <c r="B57" s="14" t="inlineStr">
        <is>
          <t>Mid Cap</t>
        </is>
      </c>
      <c r="C57" s="14" t="n">
        <v>40.2</v>
      </c>
      <c r="D57" s="14" t="n">
        <v>14.2</v>
      </c>
      <c r="E57" s="14" t="n">
        <v>66.8</v>
      </c>
      <c r="F57" s="14" t="n">
        <v>13</v>
      </c>
      <c r="G57" s="14" t="n">
        <v>6</v>
      </c>
      <c r="H57" s="14" t="n">
        <v>27.4</v>
      </c>
      <c r="I57" s="14" t="n">
        <v>65</v>
      </c>
      <c r="J57" s="14" t="n">
        <v>25</v>
      </c>
    </row>
    <row r="58" ht="30" customHeight="1">
      <c r="A58" s="11" t="inlineStr">
        <is>
          <t>Canara Rob Small Cap Fund</t>
        </is>
      </c>
      <c r="B58" s="8" t="inlineStr">
        <is>
          <t>Small Cap</t>
        </is>
      </c>
      <c r="C58" s="8" t="n">
        <v>39.5</v>
      </c>
      <c r="D58" s="8" t="n">
        <v>9.199999999999999</v>
      </c>
      <c r="E58" s="8" t="n">
        <v>16.2</v>
      </c>
      <c r="F58" s="8" t="n">
        <v>68.40000000000001</v>
      </c>
      <c r="G58" s="8" t="n">
        <v>6.2</v>
      </c>
      <c r="H58" s="8" t="n">
        <v>24.7</v>
      </c>
      <c r="I58" s="8" t="n">
        <v>93</v>
      </c>
      <c r="J58" s="8" t="n">
        <v>28</v>
      </c>
    </row>
    <row r="59" ht="30" customHeight="1">
      <c r="A59" s="16" t="inlineStr">
        <is>
          <t>Canara Rob Flexi Cap Fund</t>
        </is>
      </c>
      <c r="B59" s="14" t="inlineStr">
        <is>
          <t>Flexi Cap</t>
        </is>
      </c>
      <c r="C59" s="14" t="n">
        <v>38.7</v>
      </c>
      <c r="D59" s="14" t="n">
        <v>74.40000000000001</v>
      </c>
      <c r="E59" s="14" t="n">
        <v>17.5</v>
      </c>
      <c r="F59" s="14" t="n">
        <v>3.4</v>
      </c>
      <c r="G59" s="14" t="n">
        <v>4.7</v>
      </c>
      <c r="H59" s="14" t="n">
        <v>38.7</v>
      </c>
      <c r="I59" s="14" t="n">
        <v>76</v>
      </c>
      <c r="J59" s="14" t="n">
        <v>22</v>
      </c>
    </row>
    <row r="60" ht="30" customHeight="1">
      <c r="A60" s="11" t="inlineStr">
        <is>
          <t>Sundaram Flexi Cap Fund</t>
        </is>
      </c>
      <c r="B60" s="8" t="inlineStr">
        <is>
          <t>Flexi Cap</t>
        </is>
      </c>
      <c r="C60" s="8" t="n">
        <v>38.1</v>
      </c>
      <c r="D60" s="8" t="n">
        <v>70.3</v>
      </c>
      <c r="E60" s="8" t="n">
        <v>9</v>
      </c>
      <c r="F60" s="8" t="n">
        <v>18.1</v>
      </c>
      <c r="G60" s="8" t="n">
        <v>2.7</v>
      </c>
      <c r="H60" s="8" t="n">
        <v>42.9</v>
      </c>
      <c r="I60" s="8" t="n">
        <v>55</v>
      </c>
      <c r="J60" s="8" t="n">
        <v>47</v>
      </c>
    </row>
    <row r="61" ht="30" customHeight="1">
      <c r="A61" s="16" t="inlineStr">
        <is>
          <t>Canara Rob Mid Cap Fund</t>
        </is>
      </c>
      <c r="B61" s="14" t="inlineStr">
        <is>
          <t>Mid Cap</t>
        </is>
      </c>
      <c r="C61" s="14" t="n">
        <v>37</v>
      </c>
      <c r="D61" s="14" t="n">
        <v>19.7</v>
      </c>
      <c r="E61" s="14" t="n">
        <v>67.09999999999999</v>
      </c>
      <c r="F61" s="14" t="n">
        <v>5.4</v>
      </c>
      <c r="G61" s="14" t="n">
        <v>7.8</v>
      </c>
      <c r="H61" s="14" t="n">
        <v>25.4</v>
      </c>
      <c r="I61" s="14" t="n">
        <v>60</v>
      </c>
      <c r="J61" s="14" t="n">
        <v>44</v>
      </c>
    </row>
    <row r="62" ht="30" customHeight="1">
      <c r="A62" s="11" t="inlineStr">
        <is>
          <t>SBI Midcap Fund</t>
        </is>
      </c>
      <c r="B62" s="8" t="inlineStr">
        <is>
          <t>Mid Cap</t>
        </is>
      </c>
      <c r="C62" s="8" t="n">
        <v>36.1</v>
      </c>
      <c r="D62" s="8" t="n">
        <v>5.1</v>
      </c>
      <c r="E62" s="8" t="n">
        <v>72.90000000000001</v>
      </c>
      <c r="F62" s="8" t="n">
        <v>15.8</v>
      </c>
      <c r="G62" s="8" t="n">
        <v>6.2</v>
      </c>
      <c r="H62" s="8" t="n">
        <v>31.2</v>
      </c>
      <c r="I62" s="8" t="n">
        <v>58</v>
      </c>
      <c r="J62" s="8" t="n">
        <v>69</v>
      </c>
    </row>
    <row r="63" ht="30" customHeight="1">
      <c r="A63" s="16" t="inlineStr">
        <is>
          <t>Tata Large Cap Fund</t>
        </is>
      </c>
      <c r="B63" s="14" t="inlineStr">
        <is>
          <t>Large Cap</t>
        </is>
      </c>
      <c r="C63" s="14" t="n">
        <v>36</v>
      </c>
      <c r="D63" s="14" t="n">
        <v>85.8</v>
      </c>
      <c r="E63" s="14" t="n">
        <v>5.3</v>
      </c>
      <c r="F63" s="14" t="n">
        <v>6</v>
      </c>
      <c r="G63" s="14" t="n">
        <v>2.9</v>
      </c>
      <c r="H63" s="14" t="n">
        <v>47</v>
      </c>
      <c r="I63" s="14" t="n">
        <v>45</v>
      </c>
      <c r="J63" s="14" t="n">
        <v>44</v>
      </c>
    </row>
    <row r="64" ht="30" customHeight="1">
      <c r="A64" s="11" t="inlineStr">
        <is>
          <t>Baroda BNP Paribas Flexi Cap Fund</t>
        </is>
      </c>
      <c r="B64" s="8" t="inlineStr">
        <is>
          <t>Flexi Cap</t>
        </is>
      </c>
      <c r="C64" s="8" t="n">
        <v>34.9</v>
      </c>
      <c r="D64" s="8" t="n">
        <v>50.3</v>
      </c>
      <c r="E64" s="8" t="n">
        <v>33</v>
      </c>
      <c r="F64" s="8" t="n">
        <v>7.3</v>
      </c>
      <c r="G64" s="8" t="n">
        <v>9.4</v>
      </c>
      <c r="H64" s="8" t="n">
        <v>32.7</v>
      </c>
      <c r="I64" s="8" t="n">
        <v>47</v>
      </c>
      <c r="J64" s="8" t="n">
        <v>87</v>
      </c>
    </row>
    <row r="65" ht="30" customHeight="1">
      <c r="A65" s="16" t="inlineStr">
        <is>
          <t>Axis Flexi Cap Fund</t>
        </is>
      </c>
      <c r="B65" s="14" t="inlineStr">
        <is>
          <t>Flexi Cap</t>
        </is>
      </c>
      <c r="C65" s="14" t="n">
        <v>34.5</v>
      </c>
      <c r="D65" s="14" t="n">
        <v>59.9</v>
      </c>
      <c r="E65" s="14" t="n">
        <v>18.5</v>
      </c>
      <c r="F65" s="14" t="n">
        <v>12</v>
      </c>
      <c r="G65" s="14" t="n">
        <v>9.699999999999999</v>
      </c>
      <c r="H65" s="14" t="n">
        <v>42.7</v>
      </c>
      <c r="I65" s="14" t="n">
        <v>61</v>
      </c>
      <c r="J65" s="14" t="n">
        <v>23</v>
      </c>
    </row>
    <row r="66" ht="30" customHeight="1">
      <c r="A66" s="11" t="inlineStr">
        <is>
          <t>Union Midcap Fund</t>
        </is>
      </c>
      <c r="B66" s="8" t="inlineStr">
        <is>
          <t>Mid Cap</t>
        </is>
      </c>
      <c r="C66" s="8" t="n">
        <v>33.2</v>
      </c>
      <c r="D66" s="8" t="n">
        <v>12</v>
      </c>
      <c r="E66" s="8" t="n">
        <v>66.59999999999999</v>
      </c>
      <c r="F66" s="8" t="n">
        <v>18</v>
      </c>
      <c r="G66" s="8" t="n">
        <v>3.4</v>
      </c>
      <c r="H66" s="8" t="n">
        <v>29.1</v>
      </c>
      <c r="I66" s="8" t="n">
        <v>74</v>
      </c>
      <c r="J66" s="8" t="n">
        <v>92</v>
      </c>
    </row>
    <row r="67" ht="30" customHeight="1">
      <c r="A67" s="16" t="inlineStr">
        <is>
          <t>SBI Flexicap Fund</t>
        </is>
      </c>
      <c r="B67" s="14" t="inlineStr">
        <is>
          <t>Flexi Cap</t>
        </is>
      </c>
      <c r="C67" s="14" t="n">
        <v>32.9</v>
      </c>
      <c r="D67" s="14" t="n">
        <v>65.90000000000001</v>
      </c>
      <c r="E67" s="14" t="n">
        <v>11.9</v>
      </c>
      <c r="F67" s="14" t="n">
        <v>12.5</v>
      </c>
      <c r="G67" s="14" t="n">
        <v>9.699999999999999</v>
      </c>
      <c r="H67" s="14" t="n">
        <v>40.1</v>
      </c>
      <c r="I67" s="14" t="n">
        <v>77</v>
      </c>
      <c r="J67" s="14" t="n">
        <v>95</v>
      </c>
    </row>
    <row r="68" ht="30" customHeight="1">
      <c r="A68" s="11" t="inlineStr">
        <is>
          <t>Aditya Birla SL Midcap Fund</t>
        </is>
      </c>
      <c r="B68" s="8" t="inlineStr">
        <is>
          <t>Mid Cap</t>
        </is>
      </c>
      <c r="C68" s="8" t="n">
        <v>32.3</v>
      </c>
      <c r="D68" s="8" t="n">
        <v>6.3</v>
      </c>
      <c r="E68" s="8" t="n">
        <v>68.5</v>
      </c>
      <c r="F68" s="8" t="n">
        <v>23.4</v>
      </c>
      <c r="G68" s="8" t="n">
        <v>1.8</v>
      </c>
      <c r="H68" s="8" t="n">
        <v>28.8</v>
      </c>
      <c r="I68" s="8" t="n">
        <v>83</v>
      </c>
      <c r="J68" s="8" t="n">
        <v>72</v>
      </c>
    </row>
    <row r="69" ht="30" customHeight="1">
      <c r="A69" s="16" t="inlineStr">
        <is>
          <t>Union Flexi Cap Fund</t>
        </is>
      </c>
      <c r="B69" s="14" t="inlineStr">
        <is>
          <t>Flexi Cap</t>
        </is>
      </c>
      <c r="C69" s="14" t="n">
        <v>31.4</v>
      </c>
      <c r="D69" s="14" t="n">
        <v>62.8</v>
      </c>
      <c r="E69" s="14" t="n">
        <v>14.4</v>
      </c>
      <c r="F69" s="14" t="n">
        <v>16.9</v>
      </c>
      <c r="G69" s="14" t="n">
        <v>6</v>
      </c>
      <c r="H69" s="14" t="n">
        <v>34.9</v>
      </c>
      <c r="I69" s="14" t="n">
        <v>73</v>
      </c>
      <c r="J69" s="14" t="n">
        <v>72</v>
      </c>
    </row>
    <row r="70" ht="30" customHeight="1">
      <c r="A70" s="11" t="inlineStr">
        <is>
          <t>LIC MF Small Cap Fund</t>
        </is>
      </c>
      <c r="B70" s="8" t="inlineStr">
        <is>
          <t>Small Cap</t>
        </is>
      </c>
      <c r="C70" s="8" t="n">
        <v>29.6</v>
      </c>
      <c r="D70" s="8" t="n">
        <v>2.1</v>
      </c>
      <c r="E70" s="8" t="n">
        <v>4.2</v>
      </c>
      <c r="F70" s="8" t="n">
        <v>86.8</v>
      </c>
      <c r="G70" s="8" t="n">
        <v>6.9</v>
      </c>
      <c r="H70" s="8" t="n">
        <v>24.1</v>
      </c>
      <c r="I70" s="8" t="n">
        <v>72</v>
      </c>
      <c r="J70" s="8" t="n">
        <v>72</v>
      </c>
    </row>
    <row r="71" ht="30" customHeight="1">
      <c r="A71" s="16" t="inlineStr">
        <is>
          <t>PGIM India Small Cap Fund</t>
        </is>
      </c>
      <c r="B71" s="14" t="inlineStr">
        <is>
          <t>Small Cap</t>
        </is>
      </c>
      <c r="C71" s="14" t="n">
        <v>28.7</v>
      </c>
      <c r="D71" s="14" t="n">
        <v>4.1</v>
      </c>
      <c r="E71" s="14" t="n">
        <v>18.8</v>
      </c>
      <c r="F71" s="14" t="n">
        <v>69.40000000000001</v>
      </c>
      <c r="G71" s="14" t="n">
        <v>7.8</v>
      </c>
      <c r="H71" s="14" t="n">
        <v>26.4</v>
      </c>
      <c r="I71" s="14" t="n">
        <v>69</v>
      </c>
      <c r="J71" s="14" t="n">
        <v>38</v>
      </c>
    </row>
    <row r="72" ht="30" customHeight="1">
      <c r="A72" s="11" t="inlineStr">
        <is>
          <t>Sundaram Large Cap Fund</t>
        </is>
      </c>
      <c r="B72" s="8" t="inlineStr">
        <is>
          <t>Large Cap</t>
        </is>
      </c>
      <c r="C72" s="8" t="n">
        <v>27</v>
      </c>
      <c r="D72" s="8" t="n">
        <v>81</v>
      </c>
      <c r="E72" s="8" t="n">
        <v>11.7</v>
      </c>
      <c r="F72" s="8" t="n">
        <v>2.5</v>
      </c>
      <c r="G72" s="8" t="n">
        <v>4.8</v>
      </c>
      <c r="H72" s="8" t="n">
        <v>52.8</v>
      </c>
      <c r="I72" s="8" t="n">
        <v>37</v>
      </c>
      <c r="J72" s="8" t="n">
        <v>30</v>
      </c>
    </row>
    <row r="73" ht="30" customHeight="1">
      <c r="A73" s="16" t="inlineStr">
        <is>
          <t>PGIM India Flexi Cap Fund</t>
        </is>
      </c>
      <c r="B73" s="14" t="inlineStr">
        <is>
          <t>Flexi Cap</t>
        </is>
      </c>
      <c r="C73" s="14" t="n">
        <v>25.7</v>
      </c>
      <c r="D73" s="14" t="n">
        <v>63.4</v>
      </c>
      <c r="E73" s="14" t="n">
        <v>18.4</v>
      </c>
      <c r="F73" s="14" t="n">
        <v>12.7</v>
      </c>
      <c r="G73" s="14" t="n">
        <v>5.4</v>
      </c>
      <c r="H73" s="14" t="n">
        <v>34.3</v>
      </c>
      <c r="I73" s="14" t="n">
        <v>83</v>
      </c>
      <c r="J73" s="14" t="n">
        <v>33</v>
      </c>
    </row>
    <row r="74" ht="30" customHeight="1">
      <c r="A74" s="11" t="inlineStr">
        <is>
          <t>Bandhan Midcap Fund</t>
        </is>
      </c>
      <c r="B74" s="8" t="inlineStr">
        <is>
          <t>Mid Cap</t>
        </is>
      </c>
      <c r="C74" s="8" t="n">
        <v>25.4</v>
      </c>
      <c r="D74" s="8" t="n">
        <v>17.7</v>
      </c>
      <c r="E74" s="8" t="n">
        <v>66.7</v>
      </c>
      <c r="F74" s="8" t="n">
        <v>12</v>
      </c>
      <c r="G74" s="8" t="n">
        <v>3.6</v>
      </c>
      <c r="H74" s="8" t="n">
        <v>28</v>
      </c>
      <c r="I74" s="8" t="n">
        <v>86</v>
      </c>
      <c r="J74" s="8" t="n">
        <v>29</v>
      </c>
    </row>
    <row r="75" ht="30" customHeight="1">
      <c r="A75" s="16" t="inlineStr">
        <is>
          <t>Aditya Birla SL Small Cap Fund</t>
        </is>
      </c>
      <c r="B75" s="14" t="inlineStr">
        <is>
          <t>Small Cap</t>
        </is>
      </c>
      <c r="C75" s="14" t="n">
        <v>24.8</v>
      </c>
      <c r="D75" s="14" t="n">
        <v>1.4</v>
      </c>
      <c r="E75" s="14" t="n">
        <v>16.4</v>
      </c>
      <c r="F75" s="14" t="n">
        <v>74.90000000000001</v>
      </c>
      <c r="G75" s="14" t="n">
        <v>7.3</v>
      </c>
      <c r="H75" s="14" t="n">
        <v>23</v>
      </c>
      <c r="I75" s="14" t="n">
        <v>94</v>
      </c>
      <c r="J75" s="14" t="n">
        <v>41</v>
      </c>
    </row>
    <row r="76" ht="30" customHeight="1">
      <c r="A76" s="11" t="inlineStr">
        <is>
          <t>Axis Large Cap Fund</t>
        </is>
      </c>
      <c r="B76" s="8" t="inlineStr">
        <is>
          <t>Large Cap</t>
        </is>
      </c>
      <c r="C76" s="8" t="n">
        <v>23.2</v>
      </c>
      <c r="D76" s="8" t="n">
        <v>90.8</v>
      </c>
      <c r="E76" s="8" t="n">
        <v>0.3</v>
      </c>
      <c r="F76" s="8" t="inlineStr"/>
      <c r="G76" s="8" t="n">
        <v>8.9</v>
      </c>
      <c r="H76" s="8" t="n">
        <v>52.1</v>
      </c>
      <c r="I76" s="8" t="n">
        <v>55</v>
      </c>
      <c r="J76" s="8" t="n">
        <v>83</v>
      </c>
    </row>
    <row r="77" ht="30" customHeight="1">
      <c r="A77" s="16" t="inlineStr">
        <is>
          <t>UTI Mid Cap Fund-Reg(IDCW)</t>
        </is>
      </c>
      <c r="B77" s="14" t="inlineStr">
        <is>
          <t>Mid Cap</t>
        </is>
      </c>
      <c r="C77" s="14" t="n">
        <v>20.6</v>
      </c>
      <c r="D77" s="14" t="n">
        <v>10.4</v>
      </c>
      <c r="E77" s="14" t="n">
        <v>65.5</v>
      </c>
      <c r="F77" s="14" t="n">
        <v>21.5</v>
      </c>
      <c r="G77" s="14" t="n">
        <v>2.7</v>
      </c>
      <c r="H77" s="14" t="n">
        <v>21.7</v>
      </c>
      <c r="I77" s="14" t="n">
        <v>94</v>
      </c>
      <c r="J77" s="14" t="n">
        <v>44</v>
      </c>
    </row>
    <row r="78" ht="30" customHeight="1">
      <c r="A78" s="11" t="inlineStr">
        <is>
          <t>Mirae Asset Large Cap Fund</t>
        </is>
      </c>
      <c r="B78" s="8" t="inlineStr">
        <is>
          <t>Large Cap</t>
        </is>
      </c>
      <c r="C78" s="8" t="n">
        <v>20.4</v>
      </c>
      <c r="D78" s="8" t="n">
        <v>87.2</v>
      </c>
      <c r="E78" s="8" t="n">
        <v>6.6</v>
      </c>
      <c r="F78" s="8" t="n">
        <v>5.4</v>
      </c>
      <c r="G78" s="8" t="n">
        <v>0.8</v>
      </c>
      <c r="H78" s="8" t="n">
        <v>49.2</v>
      </c>
      <c r="I78" s="8" t="n">
        <v>82</v>
      </c>
      <c r="J78" s="8" t="n">
        <v>36</v>
      </c>
    </row>
    <row r="79" ht="30" customHeight="1">
      <c r="A79" s="16" t="inlineStr">
        <is>
          <t>LIC MF Flexi Cap Fund</t>
        </is>
      </c>
      <c r="B79" s="14" t="inlineStr">
        <is>
          <t>Flexi Cap</t>
        </is>
      </c>
      <c r="C79" s="14" t="n">
        <v>18.4</v>
      </c>
      <c r="D79" s="14" t="n">
        <v>38.7</v>
      </c>
      <c r="E79" s="14" t="n">
        <v>19.9</v>
      </c>
      <c r="F79" s="14" t="n">
        <v>38</v>
      </c>
      <c r="G79" s="14" t="n">
        <v>3.4</v>
      </c>
      <c r="H79" s="14" t="n">
        <v>31.8</v>
      </c>
      <c r="I79" s="14" t="n">
        <v>78</v>
      </c>
      <c r="J79" s="14" t="n">
        <v>96</v>
      </c>
    </row>
    <row r="80" ht="30" customHeight="1">
      <c r="A80" s="11" t="inlineStr">
        <is>
          <t>UTI Flexi Cap Fund-Reg(IDCW)</t>
        </is>
      </c>
      <c r="B80" s="8" t="inlineStr">
        <is>
          <t>Flexi Cap</t>
        </is>
      </c>
      <c r="C80" s="8" t="n">
        <v>16.5</v>
      </c>
      <c r="D80" s="8" t="n">
        <v>58.7</v>
      </c>
      <c r="E80" s="8" t="n">
        <v>25.8</v>
      </c>
      <c r="F80" s="8" t="n">
        <v>12.4</v>
      </c>
      <c r="G80" s="8" t="n">
        <v>3.1</v>
      </c>
      <c r="H80" s="8" t="n">
        <v>44.2</v>
      </c>
      <c r="I80" s="8" t="n">
        <v>62</v>
      </c>
      <c r="J80" s="8" t="n">
        <v>9</v>
      </c>
    </row>
    <row r="81" ht="30" customHeight="1">
      <c r="A81" s="16" t="inlineStr">
        <is>
          <t>PGIM India Midcap Fund</t>
        </is>
      </c>
      <c r="B81" s="14" t="inlineStr">
        <is>
          <t>Mid Cap</t>
        </is>
      </c>
      <c r="C81" s="14" t="n">
        <v>16.3</v>
      </c>
      <c r="D81" s="14" t="n">
        <v>19</v>
      </c>
      <c r="E81" s="14" t="n">
        <v>66.90000000000001</v>
      </c>
      <c r="F81" s="14" t="n">
        <v>10.5</v>
      </c>
      <c r="G81" s="14" t="n">
        <v>3.6</v>
      </c>
      <c r="H81" s="14" t="n">
        <v>23.6</v>
      </c>
      <c r="I81" s="14" t="n">
        <v>98</v>
      </c>
      <c r="J81" s="14" t="n">
        <v>41</v>
      </c>
    </row>
    <row r="82" ht="30" customHeight="1">
      <c r="A82" s="11" t="inlineStr">
        <is>
          <t>UTI Large Cap Fund-Reg(IDCW)</t>
        </is>
      </c>
      <c r="B82" s="8" t="inlineStr">
        <is>
          <t>Large Cap</t>
        </is>
      </c>
      <c r="C82" s="8" t="n">
        <v>15.8</v>
      </c>
      <c r="D82" s="8" t="n">
        <v>87.40000000000001</v>
      </c>
      <c r="E82" s="8" t="n">
        <v>8.699999999999999</v>
      </c>
      <c r="F82" s="8" t="n">
        <v>1.8</v>
      </c>
      <c r="G82" s="8" t="n">
        <v>2</v>
      </c>
      <c r="H82" s="8" t="n">
        <v>49.4</v>
      </c>
      <c r="I82" s="8" t="n">
        <v>64</v>
      </c>
      <c r="J82" s="8" t="n">
        <v>39</v>
      </c>
    </row>
    <row r="83" ht="30" customHeight="1">
      <c r="A83" s="16" t="inlineStr">
        <is>
          <t>Quant Mid Cap Fund</t>
        </is>
      </c>
      <c r="B83" s="14" t="inlineStr">
        <is>
          <t>Mid Cap</t>
        </is>
      </c>
      <c r="C83" s="14" t="n">
        <v>15.7</v>
      </c>
      <c r="D83" s="14" t="n">
        <v>8.1</v>
      </c>
      <c r="E83" s="14" t="n">
        <v>59.9</v>
      </c>
      <c r="F83" s="14" t="n">
        <v>8.1</v>
      </c>
      <c r="G83" s="14" t="n">
        <v>23.9</v>
      </c>
      <c r="H83" s="14" t="n">
        <v>61.6</v>
      </c>
      <c r="I83" s="14" t="n">
        <v>40</v>
      </c>
      <c r="J83" s="14" t="n">
        <v>321</v>
      </c>
    </row>
    <row r="84" ht="30" customHeight="1">
      <c r="A84" s="11" t="inlineStr">
        <is>
          <t>Tata Small Cap Fund</t>
        </is>
      </c>
      <c r="B84" s="8" t="inlineStr">
        <is>
          <t>Small Cap</t>
        </is>
      </c>
      <c r="C84" s="8" t="n">
        <v>14.7</v>
      </c>
      <c r="D84" s="8" t="inlineStr"/>
      <c r="E84" s="8" t="n">
        <v>7.7</v>
      </c>
      <c r="F84" s="8" t="n">
        <v>84.7</v>
      </c>
      <c r="G84" s="8" t="n">
        <v>7.5</v>
      </c>
      <c r="H84" s="8" t="n">
        <v>35.3</v>
      </c>
      <c r="I84" s="8" t="n">
        <v>65</v>
      </c>
      <c r="J84" s="8" t="n">
        <v>12</v>
      </c>
    </row>
  </sheetData>
  <autoFilter ref="A4:J84"/>
  <mergeCells count="2">
    <mergeCell ref="A1:J1"/>
    <mergeCell ref="A3:J3"/>
  </mergeCells>
  <pageMargins left="0.75" right="0.75" top="1" bottom="1" header="0.5" footer="0.5"/>
</worksheet>
</file>

<file path=xl/worksheets/sheet10.xml><?xml version="1.0" encoding="utf-8"?>
<worksheet xmlns="http://schemas.openxmlformats.org/spreadsheetml/2006/main">
  <sheetPr>
    <tabColor rgb="00C62828"/>
    <outlinePr summaryBelow="1" summaryRight="1"/>
    <pageSetUpPr/>
  </sheetPr>
  <dimension ref="A1:P84"/>
  <sheetViews>
    <sheetView workbookViewId="0">
      <selection activeCell="A1" sqref="A1"/>
    </sheetView>
  </sheetViews>
  <sheetFormatPr baseColWidth="8" defaultRowHeight="15"/>
  <cols>
    <col width="5" customWidth="1" min="1" max="1"/>
    <col width="30" customWidth="1" min="2" max="2"/>
    <col width="12" customWidth="1" min="3" max="3"/>
    <col width="10" customWidth="1" min="4" max="4"/>
    <col width="14" customWidth="1" min="5" max="5"/>
    <col width="12" customWidth="1" min="6" max="6"/>
    <col width="12" customWidth="1" min="7" max="7"/>
    <col width="28" customWidth="1" min="8" max="8"/>
    <col width="12" customWidth="1" min="9" max="9"/>
    <col width="22" customWidth="1" min="10" max="10"/>
    <col width="12" customWidth="1" min="11" max="11"/>
    <col width="20" customWidth="1" min="12" max="12"/>
    <col width="12" customWidth="1" min="13" max="13"/>
    <col width="18" customWidth="1" min="14" max="14"/>
    <col width="10" customWidth="1" min="15" max="15"/>
    <col width="50" customWidth="1" min="16" max="16"/>
  </cols>
  <sheetData>
    <row r="1" ht="30" customHeight="1">
      <c r="A1" s="22" t="inlineStr">
        <is>
          <t>DEEP DIVE — Dossier-Format Qualitative Assessment</t>
        </is>
      </c>
    </row>
    <row r="2">
      <c r="A2" s="2" t="inlineStr">
        <is>
          <t>Structured assessment matching TRW dossier methodology. Quant score from screening engine; qualitative overlay from practitioner analysis.</t>
        </is>
      </c>
    </row>
    <row r="3" ht="30" customHeight="1">
      <c r="A3" s="3" t="inlineStr">
        <is>
          <t>DOSSIER-FORMAT QUALITATIVE ASSESSMENT</t>
        </is>
      </c>
    </row>
    <row r="4" ht="35" customHeight="1">
      <c r="A4" s="4" t="inlineStr">
        <is>
          <t>#</t>
        </is>
      </c>
      <c r="B4" s="4" t="inlineStr">
        <is>
          <t>Fund</t>
        </is>
      </c>
      <c r="C4" s="4" t="inlineStr">
        <is>
          <t>Category</t>
        </is>
      </c>
      <c r="D4" s="4" t="inlineStr">
        <is>
          <t>Quant Score</t>
        </is>
      </c>
      <c r="E4" s="4" t="inlineStr">
        <is>
          <t>Quant Rating</t>
        </is>
      </c>
      <c r="F4" s="4" t="inlineStr">
        <is>
          <t>ER Spread (%)</t>
        </is>
      </c>
      <c r="G4" s="4" t="inlineStr">
        <is>
          <t>ER Justified?</t>
        </is>
      </c>
      <c r="H4" s="4" t="inlineStr">
        <is>
          <t>FM Pedigree</t>
        </is>
      </c>
      <c r="I4" s="4" t="inlineStr">
        <is>
          <t>Key-Person Risk</t>
        </is>
      </c>
      <c r="J4" s="4" t="inlineStr">
        <is>
          <t>AUM Capacity</t>
        </is>
      </c>
      <c r="K4" s="4" t="inlineStr">
        <is>
          <t>Style Drift Risk</t>
        </is>
      </c>
      <c r="L4" s="4" t="inlineStr">
        <is>
          <t>Client Suitability</t>
        </is>
      </c>
      <c r="M4" s="4" t="inlineStr">
        <is>
          <t>Qual Score (/10)</t>
        </is>
      </c>
      <c r="N4" s="4" t="inlineStr">
        <is>
          <t>Final Verdict</t>
        </is>
      </c>
      <c r="O4" s="4" t="inlineStr">
        <is>
          <t>Rank in Category</t>
        </is>
      </c>
      <c r="P4" s="4" t="inlineStr">
        <is>
          <t>Rationale</t>
        </is>
      </c>
    </row>
    <row r="5" ht="45" customHeight="1">
      <c r="A5" s="14" t="n">
        <v>1</v>
      </c>
      <c r="B5" s="16" t="inlineStr">
        <is>
          <t>DSP Large Cap Fund</t>
        </is>
      </c>
      <c r="C5" s="14" t="inlineStr">
        <is>
          <t>Large Cap</t>
        </is>
      </c>
      <c r="D5" s="14" t="n">
        <v>92.5</v>
      </c>
      <c r="E5" s="9" t="inlineStr">
        <is>
          <t>Strong Buy</t>
        </is>
      </c>
      <c r="F5" s="14" t="n">
        <v>0.97</v>
      </c>
      <c r="G5" s="9" t="inlineStr">
        <is>
          <t>Yes</t>
        </is>
      </c>
      <c r="H5" s="16" t="inlineStr">
        <is>
          <t>Abhishek Singh</t>
        </is>
      </c>
      <c r="I5" s="14" t="inlineStr">
        <is>
          <t>H</t>
        </is>
      </c>
      <c r="J5" s="14" t="inlineStr">
        <is>
          <t>No — AUM Manageable</t>
        </is>
      </c>
      <c r="K5" s="14" t="inlineStr">
        <is>
          <t>Low</t>
        </is>
      </c>
      <c r="L5" s="16" t="inlineStr">
        <is>
          <t>Conservative Core</t>
        </is>
      </c>
      <c r="M5" s="35" t="inlineStr"/>
      <c r="N5" s="14" t="inlineStr">
        <is>
          <t>Core Holding</t>
        </is>
      </c>
      <c r="O5" s="14" t="n">
        <v>1</v>
      </c>
      <c r="P5" s="29" t="inlineStr">
        <is>
          <t>Positive alpha (+3.96%). strong downside protection (DC 76). ER spread (0.97%) justified by alpha.</t>
        </is>
      </c>
    </row>
    <row r="6" ht="45" customHeight="1">
      <c r="A6" s="8" t="n">
        <v>2</v>
      </c>
      <c r="B6" s="11" t="inlineStr">
        <is>
          <t>ICICI Pru Large Cap Fund</t>
        </is>
      </c>
      <c r="C6" s="8" t="inlineStr">
        <is>
          <t>Large Cap</t>
        </is>
      </c>
      <c r="D6" s="8" t="n">
        <v>90.7</v>
      </c>
      <c r="E6" s="9" t="inlineStr">
        <is>
          <t>Strong Buy</t>
        </is>
      </c>
      <c r="F6" s="8" t="n">
        <v>0.55</v>
      </c>
      <c r="G6" s="9" t="inlineStr">
        <is>
          <t>Yes</t>
        </is>
      </c>
      <c r="H6" s="11" t="inlineStr">
        <is>
          <t>Sankaran Naren; Vaibhav Dusad</t>
        </is>
      </c>
      <c r="I6" s="8" t="inlineStr">
        <is>
          <t>M</t>
        </is>
      </c>
      <c r="J6" s="8" t="inlineStr">
        <is>
          <t>Yes — Capacity Concern</t>
        </is>
      </c>
      <c r="K6" s="8" t="inlineStr">
        <is>
          <t>Low</t>
        </is>
      </c>
      <c r="L6" s="11" t="inlineStr">
        <is>
          <t>Conservative Core</t>
        </is>
      </c>
      <c r="M6" s="5" t="inlineStr"/>
      <c r="N6" s="8" t="inlineStr">
        <is>
          <t>Core Holding</t>
        </is>
      </c>
      <c r="O6" s="8" t="n">
        <v>2</v>
      </c>
      <c r="P6" s="30" t="inlineStr">
        <is>
          <t>Positive alpha (+2.62%). strong downside protection (DC 82). ER spread (0.55%) justified by alpha.</t>
        </is>
      </c>
    </row>
    <row r="7" ht="45" customHeight="1">
      <c r="A7" s="14" t="n">
        <v>3</v>
      </c>
      <c r="B7" s="16" t="inlineStr">
        <is>
          <t>ICICI Pru Midcap Fund</t>
        </is>
      </c>
      <c r="C7" s="14" t="inlineStr">
        <is>
          <t>Mid Cap</t>
        </is>
      </c>
      <c r="D7" s="14" t="n">
        <v>88.90000000000001</v>
      </c>
      <c r="E7" s="9" t="inlineStr">
        <is>
          <t>Strong Buy</t>
        </is>
      </c>
      <c r="F7" s="14" t="n">
        <v>0.82</v>
      </c>
      <c r="G7" s="9" t="inlineStr">
        <is>
          <t>Yes</t>
        </is>
      </c>
      <c r="H7" s="16" t="inlineStr">
        <is>
          <t>Lalit Kumar</t>
        </is>
      </c>
      <c r="I7" s="14" t="inlineStr">
        <is>
          <t>H</t>
        </is>
      </c>
      <c r="J7" s="14" t="inlineStr">
        <is>
          <t>No — AUM Manageable</t>
        </is>
      </c>
      <c r="K7" s="14" t="inlineStr">
        <is>
          <t>Low</t>
        </is>
      </c>
      <c r="L7" s="16" t="inlineStr">
        <is>
          <t>Moderate Core</t>
        </is>
      </c>
      <c r="M7" s="35" t="inlineStr"/>
      <c r="N7" s="14" t="inlineStr">
        <is>
          <t>Core Holding</t>
        </is>
      </c>
      <c r="O7" s="14" t="n">
        <v>1</v>
      </c>
      <c r="P7" s="29" t="inlineStr">
        <is>
          <t>Positive alpha (+1.62%). ER spread (0.82%) justified by alpha.</t>
        </is>
      </c>
    </row>
    <row r="8" ht="45" customHeight="1">
      <c r="A8" s="8" t="n">
        <v>4</v>
      </c>
      <c r="B8" s="11" t="inlineStr">
        <is>
          <t>Aditya Birla SL Flexi Cap Fund</t>
        </is>
      </c>
      <c r="C8" s="8" t="inlineStr">
        <is>
          <t>Flexi Cap</t>
        </is>
      </c>
      <c r="D8" s="8" t="n">
        <v>88.09999999999999</v>
      </c>
      <c r="E8" s="9" t="inlineStr">
        <is>
          <t>Strong Buy</t>
        </is>
      </c>
      <c r="F8" s="8" t="n">
        <v>0.8</v>
      </c>
      <c r="G8" s="9" t="inlineStr">
        <is>
          <t>Yes</t>
        </is>
      </c>
      <c r="H8" s="11" t="inlineStr">
        <is>
          <t>Harish krishnan; Dhaval Joshi</t>
        </is>
      </c>
      <c r="I8" s="8" t="inlineStr">
        <is>
          <t>M</t>
        </is>
      </c>
      <c r="J8" s="8" t="inlineStr">
        <is>
          <t>No — AUM Manageable</t>
        </is>
      </c>
      <c r="K8" s="8" t="inlineStr">
        <is>
          <t>Low</t>
        </is>
      </c>
      <c r="L8" s="11" t="inlineStr">
        <is>
          <t>Moderate Core</t>
        </is>
      </c>
      <c r="M8" s="5" t="inlineStr"/>
      <c r="N8" s="8" t="inlineStr">
        <is>
          <t>Core Holding</t>
        </is>
      </c>
      <c r="O8" s="8" t="n">
        <v>1</v>
      </c>
      <c r="P8" s="30" t="inlineStr">
        <is>
          <t>Positive alpha (+1.85%). strong downside protection (DC 88). ER spread (0.80%) justified by alpha.</t>
        </is>
      </c>
    </row>
    <row r="9" ht="45" customHeight="1">
      <c r="A9" s="14" t="n">
        <v>5</v>
      </c>
      <c r="B9" s="16" t="inlineStr">
        <is>
          <t>ITI Small Cap Fund</t>
        </is>
      </c>
      <c r="C9" s="14" t="inlineStr">
        <is>
          <t>Small Cap</t>
        </is>
      </c>
      <c r="D9" s="14" t="n">
        <v>84.90000000000001</v>
      </c>
      <c r="E9" s="9" t="inlineStr">
        <is>
          <t>Strong Buy</t>
        </is>
      </c>
      <c r="F9" s="14" t="n">
        <v>1.47</v>
      </c>
      <c r="G9" s="9" t="inlineStr">
        <is>
          <t>Yes</t>
        </is>
      </c>
      <c r="H9" s="16" t="inlineStr">
        <is>
          <t>Dhimant Shah; Rohan Korde</t>
        </is>
      </c>
      <c r="I9" s="14" t="inlineStr">
        <is>
          <t>M</t>
        </is>
      </c>
      <c r="J9" s="14" t="inlineStr">
        <is>
          <t>No — AUM Manageable</t>
        </is>
      </c>
      <c r="K9" s="14" t="inlineStr">
        <is>
          <t>Medium</t>
        </is>
      </c>
      <c r="L9" s="16" t="inlineStr">
        <is>
          <t>Moderate Core</t>
        </is>
      </c>
      <c r="M9" s="35" t="inlineStr"/>
      <c r="N9" s="14" t="inlineStr">
        <is>
          <t>Core Holding</t>
        </is>
      </c>
      <c r="O9" s="14" t="n">
        <v>1</v>
      </c>
      <c r="P9" s="29" t="inlineStr">
        <is>
          <t>Positive alpha (+2.45%). strong downside protection (DC 78). ER spread (1.47%) justified by alpha.</t>
        </is>
      </c>
    </row>
    <row r="10" ht="45" customHeight="1">
      <c r="A10" s="8" t="n">
        <v>6</v>
      </c>
      <c r="B10" s="11" t="inlineStr">
        <is>
          <t>Edelweiss Mid Cap Fund</t>
        </is>
      </c>
      <c r="C10" s="8" t="inlineStr">
        <is>
          <t>Mid Cap</t>
        </is>
      </c>
      <c r="D10" s="8" t="n">
        <v>83.09999999999999</v>
      </c>
      <c r="E10" s="9" t="inlineStr">
        <is>
          <t>Strong Buy</t>
        </is>
      </c>
      <c r="F10" s="8" t="n">
        <v>1.21</v>
      </c>
      <c r="G10" s="9" t="inlineStr">
        <is>
          <t>Yes</t>
        </is>
      </c>
      <c r="H10" s="11" t="inlineStr">
        <is>
          <t>Trideep Bhattacharya; Dhruv Bhatia</t>
        </is>
      </c>
      <c r="I10" s="8" t="inlineStr">
        <is>
          <t>M</t>
        </is>
      </c>
      <c r="J10" s="8" t="inlineStr">
        <is>
          <t>Monitor</t>
        </is>
      </c>
      <c r="K10" s="8" t="inlineStr">
        <is>
          <t>Low</t>
        </is>
      </c>
      <c r="L10" s="11" t="inlineStr">
        <is>
          <t>Moderate Core</t>
        </is>
      </c>
      <c r="M10" s="5" t="inlineStr"/>
      <c r="N10" s="8" t="inlineStr">
        <is>
          <t>Core Holding</t>
        </is>
      </c>
      <c r="O10" s="8" t="n">
        <v>2</v>
      </c>
      <c r="P10" s="30" t="inlineStr">
        <is>
          <t>Positive alpha (+1.57%). ER spread (1.21%) justified by alpha.</t>
        </is>
      </c>
    </row>
    <row r="11" ht="45" customHeight="1">
      <c r="A11" s="14" t="n">
        <v>7</v>
      </c>
      <c r="B11" s="16" t="inlineStr">
        <is>
          <t>Sundaram Mid Cap Fund</t>
        </is>
      </c>
      <c r="C11" s="14" t="inlineStr">
        <is>
          <t>Mid Cap</t>
        </is>
      </c>
      <c r="D11" s="14" t="n">
        <v>83.09999999999999</v>
      </c>
      <c r="E11" s="9" t="inlineStr">
        <is>
          <t>Strong Buy</t>
        </is>
      </c>
      <c r="F11" s="14" t="n">
        <v>0.87</v>
      </c>
      <c r="G11" s="26" t="inlineStr">
        <is>
          <t>Marginal</t>
        </is>
      </c>
      <c r="H11" s="16" t="inlineStr">
        <is>
          <t>S. Bharath</t>
        </is>
      </c>
      <c r="I11" s="14" t="inlineStr">
        <is>
          <t>H</t>
        </is>
      </c>
      <c r="J11" s="14" t="inlineStr">
        <is>
          <t>Monitor</t>
        </is>
      </c>
      <c r="K11" s="14" t="inlineStr">
        <is>
          <t>Low</t>
        </is>
      </c>
      <c r="L11" s="16" t="inlineStr">
        <is>
          <t>Moderate Core</t>
        </is>
      </c>
      <c r="M11" s="35" t="inlineStr"/>
      <c r="N11" s="14" t="inlineStr">
        <is>
          <t>Core Holding</t>
        </is>
      </c>
      <c r="O11" s="14" t="n">
        <v>2</v>
      </c>
      <c r="P11" s="29" t="inlineStr">
        <is>
          <t>Positive alpha (+0.62%). strong downside protection (DC 89).</t>
        </is>
      </c>
    </row>
    <row r="12" ht="45" customHeight="1">
      <c r="A12" s="8" t="n">
        <v>8</v>
      </c>
      <c r="B12" s="11" t="inlineStr">
        <is>
          <t>Edelweiss Small Cap Fund</t>
        </is>
      </c>
      <c r="C12" s="8" t="inlineStr">
        <is>
          <t>Small Cap</t>
        </is>
      </c>
      <c r="D12" s="8" t="n">
        <v>81.09999999999999</v>
      </c>
      <c r="E12" s="9" t="inlineStr">
        <is>
          <t>Strong Buy</t>
        </is>
      </c>
      <c r="F12" s="8" t="n">
        <v>1.36</v>
      </c>
      <c r="G12" s="28" t="inlineStr">
        <is>
          <t>No</t>
        </is>
      </c>
      <c r="H12" s="11" t="inlineStr">
        <is>
          <t>Dhruv Bhatia; Trideep Bhattacharya</t>
        </is>
      </c>
      <c r="I12" s="8" t="inlineStr">
        <is>
          <t>M</t>
        </is>
      </c>
      <c r="J12" s="8" t="inlineStr">
        <is>
          <t>No — AUM Manageable</t>
        </is>
      </c>
      <c r="K12" s="8" t="inlineStr">
        <is>
          <t>Low</t>
        </is>
      </c>
      <c r="L12" s="11" t="inlineStr">
        <is>
          <t>Moderate Core</t>
        </is>
      </c>
      <c r="M12" s="5" t="inlineStr"/>
      <c r="N12" s="8" t="inlineStr">
        <is>
          <t>Core Holding</t>
        </is>
      </c>
      <c r="O12" s="8" t="n">
        <v>2</v>
      </c>
      <c r="P12" s="30" t="inlineStr">
        <is>
          <t>Negative alpha (-2.32%). strong downside protection (DC 76). ER spread (1.36%) NOT justified.</t>
        </is>
      </c>
    </row>
    <row r="13" ht="45" customHeight="1">
      <c r="A13" s="14" t="n">
        <v>9</v>
      </c>
      <c r="B13" s="16" t="inlineStr">
        <is>
          <t>Franklin India Flexi Cap Fund</t>
        </is>
      </c>
      <c r="C13" s="14" t="inlineStr">
        <is>
          <t>Flexi Cap</t>
        </is>
      </c>
      <c r="D13" s="14" t="n">
        <v>80.3</v>
      </c>
      <c r="E13" s="9" t="inlineStr">
        <is>
          <t>Strong Buy</t>
        </is>
      </c>
      <c r="F13" s="14" t="n">
        <v>0.8</v>
      </c>
      <c r="G13" s="9" t="inlineStr">
        <is>
          <t>Yes</t>
        </is>
      </c>
      <c r="H13" s="16" t="inlineStr">
        <is>
          <t>R. Janakiraman; Rajasa Kakulavarapu</t>
        </is>
      </c>
      <c r="I13" s="14" t="inlineStr">
        <is>
          <t>M</t>
        </is>
      </c>
      <c r="J13" s="14" t="inlineStr">
        <is>
          <t>No — AUM Manageable</t>
        </is>
      </c>
      <c r="K13" s="14" t="inlineStr">
        <is>
          <t>Low</t>
        </is>
      </c>
      <c r="L13" s="16" t="inlineStr">
        <is>
          <t>Moderate Core</t>
        </is>
      </c>
      <c r="M13" s="35" t="inlineStr"/>
      <c r="N13" s="14" t="inlineStr">
        <is>
          <t>Core Holding</t>
        </is>
      </c>
      <c r="O13" s="14" t="n">
        <v>2</v>
      </c>
      <c r="P13" s="29" t="inlineStr">
        <is>
          <t>Positive alpha (+1.09%). strong downside protection (DC 88). ER spread (0.80%) justified by alpha.</t>
        </is>
      </c>
    </row>
    <row r="14" ht="45" customHeight="1">
      <c r="A14" s="8" t="n">
        <v>10</v>
      </c>
      <c r="B14" s="11" t="inlineStr">
        <is>
          <t>Mahindra Manulife Mid Cap Fund</t>
        </is>
      </c>
      <c r="C14" s="8" t="inlineStr">
        <is>
          <t>Mid Cap</t>
        </is>
      </c>
      <c r="D14" s="8" t="n">
        <v>76.7</v>
      </c>
      <c r="E14" s="17" t="inlineStr">
        <is>
          <t>Buy</t>
        </is>
      </c>
      <c r="F14" s="8" t="n">
        <v>1.29</v>
      </c>
      <c r="G14" s="26" t="inlineStr">
        <is>
          <t>Marginal</t>
        </is>
      </c>
      <c r="H14" s="11" t="inlineStr">
        <is>
          <t>Kirti Dalvi; Neelesh Dhamnaskar</t>
        </is>
      </c>
      <c r="I14" s="8" t="inlineStr">
        <is>
          <t>M</t>
        </is>
      </c>
      <c r="J14" s="8" t="inlineStr">
        <is>
          <t>No — AUM Manageable</t>
        </is>
      </c>
      <c r="K14" s="8" t="inlineStr">
        <is>
          <t>Low</t>
        </is>
      </c>
      <c r="L14" s="11" t="inlineStr">
        <is>
          <t>Moderate Core</t>
        </is>
      </c>
      <c r="M14" s="5" t="inlineStr"/>
      <c r="N14" s="8" t="inlineStr">
        <is>
          <t>Satellite Allocation</t>
        </is>
      </c>
      <c r="O14" s="8" t="n">
        <v>4</v>
      </c>
      <c r="P14" s="30" t="inlineStr">
        <is>
          <t>Positive alpha (+0.88%).</t>
        </is>
      </c>
    </row>
    <row r="15" ht="45" customHeight="1">
      <c r="A15" s="14" t="n">
        <v>11</v>
      </c>
      <c r="B15" s="16" t="inlineStr">
        <is>
          <t>Edelweiss Flexi Cap Fund</t>
        </is>
      </c>
      <c r="C15" s="14" t="inlineStr">
        <is>
          <t>Flexi Cap</t>
        </is>
      </c>
      <c r="D15" s="14" t="n">
        <v>73</v>
      </c>
      <c r="E15" s="17" t="inlineStr">
        <is>
          <t>Buy</t>
        </is>
      </c>
      <c r="F15" s="14" t="n">
        <v>1.45</v>
      </c>
      <c r="G15" s="9" t="inlineStr">
        <is>
          <t>Yes</t>
        </is>
      </c>
      <c r="H15" s="16" t="inlineStr">
        <is>
          <t>Trideep Bhattacharya; Ashwani Agarwalla</t>
        </is>
      </c>
      <c r="I15" s="14" t="inlineStr">
        <is>
          <t>M</t>
        </is>
      </c>
      <c r="J15" s="14" t="inlineStr">
        <is>
          <t>No — AUM Manageable</t>
        </is>
      </c>
      <c r="K15" s="14" t="inlineStr">
        <is>
          <t>Low</t>
        </is>
      </c>
      <c r="L15" s="16" t="inlineStr">
        <is>
          <t>Moderate Core</t>
        </is>
      </c>
      <c r="M15" s="35" t="inlineStr"/>
      <c r="N15" s="14" t="inlineStr">
        <is>
          <t>Satellite Allocation</t>
        </is>
      </c>
      <c r="O15" s="14" t="n">
        <v>3</v>
      </c>
      <c r="P15" s="29" t="inlineStr">
        <is>
          <t>Positive alpha (+1.92%). ER spread (1.45%) justified by alpha.</t>
        </is>
      </c>
    </row>
    <row r="16" ht="45" customHeight="1">
      <c r="A16" s="8" t="n">
        <v>12</v>
      </c>
      <c r="B16" s="11" t="inlineStr">
        <is>
          <t>ITI Flexi Cap Fund</t>
        </is>
      </c>
      <c r="C16" s="8" t="inlineStr">
        <is>
          <t>Flexi Cap</t>
        </is>
      </c>
      <c r="D16" s="8" t="n">
        <v>71.2</v>
      </c>
      <c r="E16" s="17" t="inlineStr">
        <is>
          <t>Buy</t>
        </is>
      </c>
      <c r="F16" s="8" t="n">
        <v>1.61</v>
      </c>
      <c r="G16" s="9" t="inlineStr">
        <is>
          <t>Yes</t>
        </is>
      </c>
      <c r="H16" s="11" t="inlineStr">
        <is>
          <t>Dhimant Shah; Rohan Korde</t>
        </is>
      </c>
      <c r="I16" s="8" t="inlineStr">
        <is>
          <t>M</t>
        </is>
      </c>
      <c r="J16" s="8" t="inlineStr">
        <is>
          <t>No — AUM Manageable</t>
        </is>
      </c>
      <c r="K16" s="8" t="inlineStr">
        <is>
          <t>Medium</t>
        </is>
      </c>
      <c r="L16" s="11" t="inlineStr">
        <is>
          <t>Moderate Core</t>
        </is>
      </c>
      <c r="M16" s="5" t="inlineStr"/>
      <c r="N16" s="8" t="inlineStr">
        <is>
          <t>Satellite Allocation</t>
        </is>
      </c>
      <c r="O16" s="8" t="n">
        <v>4</v>
      </c>
      <c r="P16" s="30" t="inlineStr">
        <is>
          <t>Positive alpha (+4.29%). amplifies drawdowns (DC 111). ER spread (1.61%) justified by alpha.</t>
        </is>
      </c>
    </row>
    <row r="17" ht="45" customHeight="1">
      <c r="A17" s="14" t="n">
        <v>13</v>
      </c>
      <c r="B17" s="16" t="inlineStr">
        <is>
          <t>Tata Flexi Cap Fund</t>
        </is>
      </c>
      <c r="C17" s="14" t="inlineStr">
        <is>
          <t>Flexi Cap</t>
        </is>
      </c>
      <c r="D17" s="14" t="n">
        <v>70.7</v>
      </c>
      <c r="E17" s="17" t="inlineStr">
        <is>
          <t>Buy</t>
        </is>
      </c>
      <c r="F17" s="14" t="n">
        <v>1.27</v>
      </c>
      <c r="G17" s="28" t="inlineStr">
        <is>
          <t>No</t>
        </is>
      </c>
      <c r="H17" s="16" t="inlineStr">
        <is>
          <t>Anand Sharma; Aditya Bagul</t>
        </is>
      </c>
      <c r="I17" s="14" t="inlineStr">
        <is>
          <t>M</t>
        </is>
      </c>
      <c r="J17" s="14" t="inlineStr">
        <is>
          <t>No — AUM Manageable</t>
        </is>
      </c>
      <c r="K17" s="14" t="inlineStr">
        <is>
          <t>Low</t>
        </is>
      </c>
      <c r="L17" s="16" t="inlineStr">
        <is>
          <t>Moderate Core</t>
        </is>
      </c>
      <c r="M17" s="35" t="inlineStr"/>
      <c r="N17" s="14" t="inlineStr">
        <is>
          <t>Satellite Allocation</t>
        </is>
      </c>
      <c r="O17" s="14" t="n">
        <v>5</v>
      </c>
      <c r="P17" s="29" t="inlineStr">
        <is>
          <t>Negative alpha (-0.19%). strong downside protection (DC 79). ER spread (1.27%) NOT justified.</t>
        </is>
      </c>
    </row>
    <row r="18" ht="45" customHeight="1">
      <c r="A18" s="8" t="n">
        <v>14</v>
      </c>
      <c r="B18" s="11" t="inlineStr">
        <is>
          <t>Motilal Oswal Flexi Cap Fund</t>
        </is>
      </c>
      <c r="C18" s="8" t="inlineStr">
        <is>
          <t>Flexi Cap</t>
        </is>
      </c>
      <c r="D18" s="8" t="n">
        <v>69.40000000000001</v>
      </c>
      <c r="E18" s="17" t="inlineStr">
        <is>
          <t>Buy</t>
        </is>
      </c>
      <c r="F18" s="8" t="n">
        <v>0.9</v>
      </c>
      <c r="G18" s="9" t="inlineStr">
        <is>
          <t>Yes</t>
        </is>
      </c>
      <c r="H18" s="11" t="inlineStr">
        <is>
          <t>Ajay Khandelwal; Atul Mehra</t>
        </is>
      </c>
      <c r="I18" s="8" t="inlineStr">
        <is>
          <t>M</t>
        </is>
      </c>
      <c r="J18" s="8" t="inlineStr">
        <is>
          <t>No — AUM Manageable</t>
        </is>
      </c>
      <c r="K18" s="8" t="inlineStr">
        <is>
          <t>Medium</t>
        </is>
      </c>
      <c r="L18" s="11" t="inlineStr">
        <is>
          <t>Moderate Core</t>
        </is>
      </c>
      <c r="M18" s="5" t="inlineStr"/>
      <c r="N18" s="8" t="inlineStr">
        <is>
          <t>Satellite Allocation</t>
        </is>
      </c>
      <c r="O18" s="8" t="n">
        <v>6</v>
      </c>
      <c r="P18" s="30" t="inlineStr">
        <is>
          <t>Positive alpha (+4.59%). amplifies drawdowns (DC 109). ER spread (0.90%) justified by alpha.</t>
        </is>
      </c>
    </row>
    <row r="19" ht="45" customHeight="1">
      <c r="A19" s="14" t="n">
        <v>15</v>
      </c>
      <c r="B19" s="16" t="inlineStr">
        <is>
          <t>Sundaram Small Cap Fund</t>
        </is>
      </c>
      <c r="C19" s="14" t="inlineStr">
        <is>
          <t>Small Cap</t>
        </is>
      </c>
      <c r="D19" s="14" t="n">
        <v>69.09999999999999</v>
      </c>
      <c r="E19" s="17" t="inlineStr">
        <is>
          <t>Buy</t>
        </is>
      </c>
      <c r="F19" s="14" t="n">
        <v>1.11</v>
      </c>
      <c r="G19" s="28" t="inlineStr">
        <is>
          <t>No</t>
        </is>
      </c>
      <c r="H19" s="16" t="inlineStr">
        <is>
          <t>Rohit Seksaria</t>
        </is>
      </c>
      <c r="I19" s="14" t="inlineStr">
        <is>
          <t>H</t>
        </is>
      </c>
      <c r="J19" s="14" t="inlineStr">
        <is>
          <t>No — AUM Manageable</t>
        </is>
      </c>
      <c r="K19" s="14" t="inlineStr">
        <is>
          <t>Low</t>
        </is>
      </c>
      <c r="L19" s="16" t="inlineStr">
        <is>
          <t>Moderate Core</t>
        </is>
      </c>
      <c r="M19" s="35" t="inlineStr"/>
      <c r="N19" s="14" t="inlineStr">
        <is>
          <t>Satellite Allocation</t>
        </is>
      </c>
      <c r="O19" s="14" t="n">
        <v>3</v>
      </c>
      <c r="P19" s="29" t="inlineStr">
        <is>
          <t>Negative alpha (-2.90%). strong downside protection (DC 79). ER spread (1.11%) NOT justified.</t>
        </is>
      </c>
    </row>
    <row r="20" ht="45" customHeight="1">
      <c r="A20" s="8" t="n">
        <v>16</v>
      </c>
      <c r="B20" s="11" t="inlineStr">
        <is>
          <t>Tata Mid Cap Fund</t>
        </is>
      </c>
      <c r="C20" s="8" t="inlineStr">
        <is>
          <t>Mid Cap</t>
        </is>
      </c>
      <c r="D20" s="8" t="n">
        <v>68.2</v>
      </c>
      <c r="E20" s="17" t="inlineStr">
        <is>
          <t>Buy</t>
        </is>
      </c>
      <c r="F20" s="8" t="n">
        <v>1.19</v>
      </c>
      <c r="G20" s="28" t="inlineStr">
        <is>
          <t>No</t>
        </is>
      </c>
      <c r="H20" s="11" t="inlineStr">
        <is>
          <t>Satish Chandra Mishra</t>
        </is>
      </c>
      <c r="I20" s="8" t="inlineStr">
        <is>
          <t>H</t>
        </is>
      </c>
      <c r="J20" s="8" t="inlineStr">
        <is>
          <t>No — AUM Manageable</t>
        </is>
      </c>
      <c r="K20" s="8" t="inlineStr">
        <is>
          <t>Low</t>
        </is>
      </c>
      <c r="L20" s="11" t="inlineStr">
        <is>
          <t>Moderate Core</t>
        </is>
      </c>
      <c r="M20" s="5" t="inlineStr"/>
      <c r="N20" s="8" t="inlineStr">
        <is>
          <t>Satellite Allocation</t>
        </is>
      </c>
      <c r="O20" s="8" t="n">
        <v>5</v>
      </c>
      <c r="P20" s="30" t="inlineStr">
        <is>
          <t>Negative alpha (-2.15%). strong downside protection (DC 87). ER spread (1.19%) NOT justified.</t>
        </is>
      </c>
    </row>
    <row r="21" ht="45" customHeight="1">
      <c r="A21" s="14" t="n">
        <v>17</v>
      </c>
      <c r="B21" s="16" t="inlineStr">
        <is>
          <t>WOC Mid Cap Fund</t>
        </is>
      </c>
      <c r="C21" s="14" t="inlineStr">
        <is>
          <t>Mid Cap</t>
        </is>
      </c>
      <c r="D21" s="14" t="n">
        <v>67.59999999999999</v>
      </c>
      <c r="E21" s="17" t="inlineStr">
        <is>
          <t>Buy</t>
        </is>
      </c>
      <c r="F21" s="14" t="n">
        <v>1.26</v>
      </c>
      <c r="G21" s="28" t="inlineStr">
        <is>
          <t>No</t>
        </is>
      </c>
      <c r="H21" s="16" t="inlineStr">
        <is>
          <t>Ramesh Mantri; Piyush Baranwal</t>
        </is>
      </c>
      <c r="I21" s="14" t="inlineStr">
        <is>
          <t>M</t>
        </is>
      </c>
      <c r="J21" s="14" t="inlineStr">
        <is>
          <t>No — AUM Manageable</t>
        </is>
      </c>
      <c r="K21" s="14" t="inlineStr">
        <is>
          <t>High</t>
        </is>
      </c>
      <c r="L21" s="16" t="inlineStr">
        <is>
          <t>Moderate Core</t>
        </is>
      </c>
      <c r="M21" s="35" t="inlineStr"/>
      <c r="N21" s="14" t="inlineStr">
        <is>
          <t>Satellite Allocation</t>
        </is>
      </c>
      <c r="O21" s="14" t="n">
        <v>6</v>
      </c>
      <c r="P21" s="29" t="inlineStr">
        <is>
          <t>Negative alpha (-3.29%). ER spread (1.26%) NOT justified.</t>
        </is>
      </c>
    </row>
    <row r="22" ht="45" customHeight="1">
      <c r="A22" s="8" t="n">
        <v>18</v>
      </c>
      <c r="B22" s="11" t="inlineStr">
        <is>
          <t>HDFC Large Cap Fund</t>
        </is>
      </c>
      <c r="C22" s="8" t="inlineStr">
        <is>
          <t>Large Cap</t>
        </is>
      </c>
      <c r="D22" s="8" t="n">
        <v>67.5</v>
      </c>
      <c r="E22" s="17" t="inlineStr">
        <is>
          <t>Buy</t>
        </is>
      </c>
      <c r="F22" s="8" t="n">
        <v>0.58</v>
      </c>
      <c r="G22" s="26" t="inlineStr">
        <is>
          <t>Marginal</t>
        </is>
      </c>
      <c r="H22" s="11" t="inlineStr">
        <is>
          <t>Rahul Baijal</t>
        </is>
      </c>
      <c r="I22" s="8" t="inlineStr">
        <is>
          <t>H</t>
        </is>
      </c>
      <c r="J22" s="8" t="inlineStr">
        <is>
          <t>Yes — Capacity Concern</t>
        </is>
      </c>
      <c r="K22" s="8" t="inlineStr">
        <is>
          <t>Low</t>
        </is>
      </c>
      <c r="L22" s="11" t="inlineStr">
        <is>
          <t>Conservative Core</t>
        </is>
      </c>
      <c r="M22" s="5" t="inlineStr"/>
      <c r="N22" s="8" t="inlineStr">
        <is>
          <t>Satellite Allocation</t>
        </is>
      </c>
      <c r="O22" s="8" t="n">
        <v>3</v>
      </c>
      <c r="P22" s="30" t="inlineStr">
        <is>
          <t>Positive alpha (+0.30%). strong downside protection (DC 88).</t>
        </is>
      </c>
    </row>
    <row r="23" ht="45" customHeight="1">
      <c r="A23" s="14" t="n">
        <v>19</v>
      </c>
      <c r="B23" s="16" t="inlineStr">
        <is>
          <t>Nippon India Large Cap Fund</t>
        </is>
      </c>
      <c r="C23" s="14" t="inlineStr">
        <is>
          <t>Large Cap</t>
        </is>
      </c>
      <c r="D23" s="14" t="n">
        <v>66.8</v>
      </c>
      <c r="E23" s="17" t="inlineStr">
        <is>
          <t>Buy</t>
        </is>
      </c>
      <c r="F23" s="14" t="n">
        <v>0.82</v>
      </c>
      <c r="G23" s="28" t="inlineStr">
        <is>
          <t>No</t>
        </is>
      </c>
      <c r="H23" s="16" t="inlineStr">
        <is>
          <t>Sailesh Raj Bhan; Bhavik Dave</t>
        </is>
      </c>
      <c r="I23" s="14" t="inlineStr">
        <is>
          <t>M</t>
        </is>
      </c>
      <c r="J23" s="14" t="inlineStr">
        <is>
          <t>Yes — Capacity Concern</t>
        </is>
      </c>
      <c r="K23" s="14" t="inlineStr">
        <is>
          <t>Low</t>
        </is>
      </c>
      <c r="L23" s="16" t="inlineStr">
        <is>
          <t>Conservative Core</t>
        </is>
      </c>
      <c r="M23" s="35" t="inlineStr"/>
      <c r="N23" s="14" t="inlineStr">
        <is>
          <t>Satellite Allocation</t>
        </is>
      </c>
      <c r="O23" s="14" t="n">
        <v>4</v>
      </c>
      <c r="P23" s="29" t="inlineStr">
        <is>
          <t>Negative alpha (-2.51%). strong downside protection (DC 86). ER spread (0.82%) NOT justified.</t>
        </is>
      </c>
    </row>
    <row r="24" ht="45" customHeight="1">
      <c r="A24" s="8" t="n">
        <v>20</v>
      </c>
      <c r="B24" s="11" t="inlineStr">
        <is>
          <t>Bandhan Large Cap Fund</t>
        </is>
      </c>
      <c r="C24" s="8" t="inlineStr">
        <is>
          <t>Large Cap</t>
        </is>
      </c>
      <c r="D24" s="8" t="n">
        <v>65.8</v>
      </c>
      <c r="E24" s="17" t="inlineStr">
        <is>
          <t>Buy</t>
        </is>
      </c>
      <c r="F24" s="8" t="n">
        <v>1.16</v>
      </c>
      <c r="G24" s="9" t="inlineStr">
        <is>
          <t>Yes</t>
        </is>
      </c>
      <c r="H24" s="11" t="inlineStr">
        <is>
          <t>Manish Gunwani; Prateek Poddar</t>
        </is>
      </c>
      <c r="I24" s="8" t="inlineStr">
        <is>
          <t>M</t>
        </is>
      </c>
      <c r="J24" s="8" t="inlineStr">
        <is>
          <t>No — AUM Manageable</t>
        </is>
      </c>
      <c r="K24" s="8" t="inlineStr">
        <is>
          <t>Medium</t>
        </is>
      </c>
      <c r="L24" s="11" t="inlineStr">
        <is>
          <t>Moderate Core</t>
        </is>
      </c>
      <c r="M24" s="5" t="inlineStr"/>
      <c r="N24" s="8" t="inlineStr">
        <is>
          <t>Satellite Allocation</t>
        </is>
      </c>
      <c r="O24" s="8" t="n">
        <v>5</v>
      </c>
      <c r="P24" s="30" t="inlineStr">
        <is>
          <t>Positive alpha (+3.41%). amplifies drawdowns (DC 105). ER spread (1.16%) justified by alpha.</t>
        </is>
      </c>
    </row>
    <row r="25" ht="45" customHeight="1">
      <c r="A25" s="14" t="n">
        <v>21</v>
      </c>
      <c r="B25" s="16" t="inlineStr">
        <is>
          <t>Baroda BNP Paribas Mid Cap Fund</t>
        </is>
      </c>
      <c r="C25" s="14" t="inlineStr">
        <is>
          <t>Mid Cap</t>
        </is>
      </c>
      <c r="D25" s="14" t="n">
        <v>65</v>
      </c>
      <c r="E25" s="17" t="inlineStr">
        <is>
          <t>Buy</t>
        </is>
      </c>
      <c r="F25" s="14" t="n">
        <v>1.44</v>
      </c>
      <c r="G25" s="28" t="inlineStr">
        <is>
          <t>No</t>
        </is>
      </c>
      <c r="H25" s="16" t="inlineStr">
        <is>
          <t>Pratish Krishnan; Himanshu Singh</t>
        </is>
      </c>
      <c r="I25" s="14" t="inlineStr">
        <is>
          <t>M</t>
        </is>
      </c>
      <c r="J25" s="14" t="inlineStr">
        <is>
          <t>No — AUM Manageable</t>
        </is>
      </c>
      <c r="K25" s="14" t="inlineStr">
        <is>
          <t>Low</t>
        </is>
      </c>
      <c r="L25" s="16" t="inlineStr">
        <is>
          <t>Moderate Core</t>
        </is>
      </c>
      <c r="M25" s="35" t="inlineStr"/>
      <c r="N25" s="14" t="inlineStr">
        <is>
          <t>Satellite Allocation</t>
        </is>
      </c>
      <c r="O25" s="14" t="n">
        <v>7</v>
      </c>
      <c r="P25" s="29" t="inlineStr">
        <is>
          <t>Negative alpha (-2.27%). strong downside protection (DC 83). ER spread (1.44%) NOT justified.</t>
        </is>
      </c>
    </row>
    <row r="26" ht="45" customHeight="1">
      <c r="A26" s="8" t="n">
        <v>22</v>
      </c>
      <c r="B26" s="11" t="inlineStr">
        <is>
          <t>WOC Flexi Cap Fund</t>
        </is>
      </c>
      <c r="C26" s="8" t="inlineStr">
        <is>
          <t>Flexi Cap</t>
        </is>
      </c>
      <c r="D26" s="8" t="n">
        <v>64.7</v>
      </c>
      <c r="E26" s="18" t="inlineStr">
        <is>
          <t>Hold</t>
        </is>
      </c>
      <c r="F26" s="8" t="n">
        <v>1.2</v>
      </c>
      <c r="G26" s="28" t="inlineStr">
        <is>
          <t>No</t>
        </is>
      </c>
      <c r="H26" s="11" t="inlineStr">
        <is>
          <t>Ramesh Mantri; Piyush Baranwal</t>
        </is>
      </c>
      <c r="I26" s="8" t="inlineStr">
        <is>
          <t>M</t>
        </is>
      </c>
      <c r="J26" s="8" t="inlineStr">
        <is>
          <t>No — AUM Manageable</t>
        </is>
      </c>
      <c r="K26" s="8" t="inlineStr">
        <is>
          <t>High</t>
        </is>
      </c>
      <c r="L26" s="11" t="inlineStr">
        <is>
          <t>Moderate Core</t>
        </is>
      </c>
      <c r="M26" s="5" t="inlineStr"/>
      <c r="N26" s="8" t="inlineStr">
        <is>
          <t>Watchlist</t>
        </is>
      </c>
      <c r="O26" s="8" t="n">
        <v>7</v>
      </c>
      <c r="P26" s="30" t="inlineStr">
        <is>
          <t>Negative alpha (-2.82%). ER spread (1.20%) NOT justified.</t>
        </is>
      </c>
    </row>
    <row r="27" ht="45" customHeight="1">
      <c r="A27" s="14" t="n">
        <v>23</v>
      </c>
      <c r="B27" s="16" t="inlineStr">
        <is>
          <t>Invesco India Smallcap Fund</t>
        </is>
      </c>
      <c r="C27" s="14" t="inlineStr">
        <is>
          <t>Small Cap</t>
        </is>
      </c>
      <c r="D27" s="14" t="n">
        <v>63.6</v>
      </c>
      <c r="E27" s="18" t="inlineStr">
        <is>
          <t>Hold</t>
        </is>
      </c>
      <c r="F27" s="14" t="n">
        <v>1.3</v>
      </c>
      <c r="G27" s="28" t="inlineStr">
        <is>
          <t>No</t>
        </is>
      </c>
      <c r="H27" s="16" t="inlineStr">
        <is>
          <t>Taher Badshah; Aditya Khemani</t>
        </is>
      </c>
      <c r="I27" s="14" t="inlineStr">
        <is>
          <t>M</t>
        </is>
      </c>
      <c r="J27" s="14" t="inlineStr">
        <is>
          <t>Monitor</t>
        </is>
      </c>
      <c r="K27" s="14" t="inlineStr">
        <is>
          <t>Medium</t>
        </is>
      </c>
      <c r="L27" s="16" t="inlineStr">
        <is>
          <t>Moderate Core</t>
        </is>
      </c>
      <c r="M27" s="35" t="inlineStr"/>
      <c r="N27" s="14" t="inlineStr">
        <is>
          <t>Watchlist</t>
        </is>
      </c>
      <c r="O27" s="14" t="n">
        <v>4</v>
      </c>
      <c r="P27" s="29" t="inlineStr">
        <is>
          <t>Negative alpha (-4.62%). amplifies drawdowns (DC 114). ER spread (1.30%) NOT justified.</t>
        </is>
      </c>
    </row>
    <row r="28" ht="45" customHeight="1">
      <c r="A28" s="8" t="n">
        <v>24</v>
      </c>
      <c r="B28" s="11" t="inlineStr">
        <is>
          <t>Mirae Asset Flexi Cap Fund</t>
        </is>
      </c>
      <c r="C28" s="8" t="inlineStr">
        <is>
          <t>Flexi Cap</t>
        </is>
      </c>
      <c r="D28" s="8" t="n">
        <v>63.1</v>
      </c>
      <c r="E28" s="18" t="inlineStr">
        <is>
          <t>Hold</t>
        </is>
      </c>
      <c r="F28" s="8" t="n">
        <v>1.43</v>
      </c>
      <c r="G28" s="28" t="inlineStr">
        <is>
          <t>No</t>
        </is>
      </c>
      <c r="H28" s="11" t="inlineStr">
        <is>
          <t>Varun Goel</t>
        </is>
      </c>
      <c r="I28" s="8" t="inlineStr">
        <is>
          <t>H</t>
        </is>
      </c>
      <c r="J28" s="8" t="inlineStr">
        <is>
          <t>No — AUM Manageable</t>
        </is>
      </c>
      <c r="K28" s="8" t="inlineStr">
        <is>
          <t>Low</t>
        </is>
      </c>
      <c r="L28" s="11" t="inlineStr">
        <is>
          <t>Moderate Core</t>
        </is>
      </c>
      <c r="M28" s="5" t="inlineStr"/>
      <c r="N28" s="8" t="inlineStr">
        <is>
          <t>Watchlist</t>
        </is>
      </c>
      <c r="O28" s="8" t="n">
        <v>8</v>
      </c>
      <c r="P28" s="30" t="inlineStr">
        <is>
          <t>Negative alpha (-0.17%). ER spread (1.43%) NOT justified.</t>
        </is>
      </c>
    </row>
    <row r="29" ht="45" customHeight="1">
      <c r="A29" s="14" t="n">
        <v>25</v>
      </c>
      <c r="B29" s="16" t="inlineStr">
        <is>
          <t>Bank of India Flexi Cap Fund</t>
        </is>
      </c>
      <c r="C29" s="14" t="inlineStr">
        <is>
          <t>Flexi Cap</t>
        </is>
      </c>
      <c r="D29" s="14" t="n">
        <v>62.9</v>
      </c>
      <c r="E29" s="18" t="inlineStr">
        <is>
          <t>Hold</t>
        </is>
      </c>
      <c r="F29" s="14" t="n">
        <v>1.4</v>
      </c>
      <c r="G29" s="26" t="inlineStr">
        <is>
          <t>Marginal</t>
        </is>
      </c>
      <c r="H29" s="16" t="inlineStr">
        <is>
          <t>Alok Singh</t>
        </is>
      </c>
      <c r="I29" s="14" t="inlineStr">
        <is>
          <t>H</t>
        </is>
      </c>
      <c r="J29" s="14" t="inlineStr">
        <is>
          <t>No — AUM Manageable</t>
        </is>
      </c>
      <c r="K29" s="14" t="inlineStr">
        <is>
          <t>Medium</t>
        </is>
      </c>
      <c r="L29" s="16" t="inlineStr">
        <is>
          <t>Moderate Core</t>
        </is>
      </c>
      <c r="M29" s="35" t="inlineStr"/>
      <c r="N29" s="14" t="inlineStr">
        <is>
          <t>Watchlist</t>
        </is>
      </c>
      <c r="O29" s="14" t="n">
        <v>9</v>
      </c>
      <c r="P29" s="29" t="inlineStr">
        <is>
          <t>Positive alpha (+0.80%). amplifies drawdowns (DC 111).</t>
        </is>
      </c>
    </row>
    <row r="30" ht="45" customHeight="1">
      <c r="A30" s="8" t="n">
        <v>26</v>
      </c>
      <c r="B30" s="11" t="inlineStr">
        <is>
          <t>Baroda BNP Paribas Large Cap Fund</t>
        </is>
      </c>
      <c r="C30" s="8" t="inlineStr">
        <is>
          <t>Large Cap</t>
        </is>
      </c>
      <c r="D30" s="8" t="n">
        <v>62.8</v>
      </c>
      <c r="E30" s="18" t="inlineStr">
        <is>
          <t>Hold</t>
        </is>
      </c>
      <c r="F30" s="8" t="n">
        <v>1.16</v>
      </c>
      <c r="G30" s="26" t="inlineStr">
        <is>
          <t>Marginal</t>
        </is>
      </c>
      <c r="H30" s="11" t="inlineStr">
        <is>
          <t>Jitendra Sriram; Kushant Arora</t>
        </is>
      </c>
      <c r="I30" s="8" t="inlineStr">
        <is>
          <t>M</t>
        </is>
      </c>
      <c r="J30" s="8" t="inlineStr">
        <is>
          <t>No — AUM Manageable</t>
        </is>
      </c>
      <c r="K30" s="8" t="inlineStr">
        <is>
          <t>Low</t>
        </is>
      </c>
      <c r="L30" s="11" t="inlineStr">
        <is>
          <t>Moderate Core</t>
        </is>
      </c>
      <c r="M30" s="5" t="inlineStr"/>
      <c r="N30" s="8" t="inlineStr">
        <is>
          <t>Watchlist</t>
        </is>
      </c>
      <c r="O30" s="8" t="n">
        <v>6</v>
      </c>
      <c r="P30" s="30" t="inlineStr">
        <is>
          <t>Positive alpha (+1.04%).</t>
        </is>
      </c>
    </row>
    <row r="31" ht="45" customHeight="1">
      <c r="A31" s="14" t="n">
        <v>27</v>
      </c>
      <c r="B31" s="16" t="inlineStr">
        <is>
          <t>Bank of India Small Cap Fund</t>
        </is>
      </c>
      <c r="C31" s="14" t="inlineStr">
        <is>
          <t>Small Cap</t>
        </is>
      </c>
      <c r="D31" s="14" t="n">
        <v>59.5</v>
      </c>
      <c r="E31" s="18" t="inlineStr">
        <is>
          <t>Hold</t>
        </is>
      </c>
      <c r="F31" s="14" t="n">
        <v>1.44</v>
      </c>
      <c r="G31" s="28" t="inlineStr">
        <is>
          <t>No</t>
        </is>
      </c>
      <c r="H31" s="16" t="inlineStr">
        <is>
          <t>Alok Singh; Nav Bhardwaj</t>
        </is>
      </c>
      <c r="I31" s="14" t="inlineStr">
        <is>
          <t>M</t>
        </is>
      </c>
      <c r="J31" s="14" t="inlineStr">
        <is>
          <t>No — AUM Manageable</t>
        </is>
      </c>
      <c r="K31" s="14" t="inlineStr">
        <is>
          <t>Medium</t>
        </is>
      </c>
      <c r="L31" s="16" t="inlineStr">
        <is>
          <t>Moderate Core</t>
        </is>
      </c>
      <c r="M31" s="35" t="inlineStr"/>
      <c r="N31" s="14" t="inlineStr">
        <is>
          <t>Watchlist</t>
        </is>
      </c>
      <c r="O31" s="14" t="n">
        <v>5</v>
      </c>
      <c r="P31" s="29" t="inlineStr">
        <is>
          <t>Negative alpha (-1.79%). strong downside protection (DC 87). ER spread (1.44%) NOT justified.</t>
        </is>
      </c>
    </row>
    <row r="32" ht="45" customHeight="1">
      <c r="A32" s="8" t="n">
        <v>28</v>
      </c>
      <c r="B32" s="11" t="inlineStr">
        <is>
          <t>Mahindra Manulife Small Cap Fund</t>
        </is>
      </c>
      <c r="C32" s="8" t="inlineStr">
        <is>
          <t>Small Cap</t>
        </is>
      </c>
      <c r="D32" s="8" t="n">
        <v>56.2</v>
      </c>
      <c r="E32" s="18" t="inlineStr">
        <is>
          <t>Hold</t>
        </is>
      </c>
      <c r="F32" s="8" t="n">
        <v>1.33</v>
      </c>
      <c r="G32" s="28" t="inlineStr">
        <is>
          <t>No</t>
        </is>
      </c>
      <c r="H32" s="11" t="inlineStr">
        <is>
          <t>Vishal Jajoo; Neelesh Dhamnaskar</t>
        </is>
      </c>
      <c r="I32" s="8" t="inlineStr">
        <is>
          <t>M</t>
        </is>
      </c>
      <c r="J32" s="8" t="inlineStr">
        <is>
          <t>No — AUM Manageable</t>
        </is>
      </c>
      <c r="K32" s="8" t="inlineStr">
        <is>
          <t>Medium</t>
        </is>
      </c>
      <c r="L32" s="11" t="inlineStr">
        <is>
          <t>Moderate Core</t>
        </is>
      </c>
      <c r="M32" s="5" t="inlineStr"/>
      <c r="N32" s="8" t="inlineStr">
        <is>
          <t>Watchlist</t>
        </is>
      </c>
      <c r="O32" s="8" t="n">
        <v>6</v>
      </c>
      <c r="P32" s="30" t="inlineStr">
        <is>
          <t>Negative alpha (-4.96%). amplifies drawdowns (DC 116). ER spread (1.33%) NOT justified.</t>
        </is>
      </c>
    </row>
    <row r="33" ht="45" customHeight="1">
      <c r="A33" s="14" t="n">
        <v>29</v>
      </c>
      <c r="B33" s="16" t="inlineStr">
        <is>
          <t>HSBC Midcap Fund</t>
        </is>
      </c>
      <c r="C33" s="14" t="inlineStr">
        <is>
          <t>Mid Cap</t>
        </is>
      </c>
      <c r="D33" s="14" t="n">
        <v>56.1</v>
      </c>
      <c r="E33" s="18" t="inlineStr">
        <is>
          <t>Hold</t>
        </is>
      </c>
      <c r="F33" s="14" t="n">
        <v>1.07</v>
      </c>
      <c r="G33" s="9" t="inlineStr">
        <is>
          <t>Yes</t>
        </is>
      </c>
      <c r="H33" s="16" t="inlineStr">
        <is>
          <t>Cheenu Gupta</t>
        </is>
      </c>
      <c r="I33" s="14" t="inlineStr">
        <is>
          <t>H</t>
        </is>
      </c>
      <c r="J33" s="14" t="inlineStr">
        <is>
          <t>Monitor</t>
        </is>
      </c>
      <c r="K33" s="14" t="inlineStr">
        <is>
          <t>Medium</t>
        </is>
      </c>
      <c r="L33" s="16" t="inlineStr">
        <is>
          <t>Moderate Core</t>
        </is>
      </c>
      <c r="M33" s="35" t="inlineStr"/>
      <c r="N33" s="14" t="inlineStr">
        <is>
          <t>Watchlist</t>
        </is>
      </c>
      <c r="O33" s="14" t="n">
        <v>8</v>
      </c>
      <c r="P33" s="29" t="inlineStr">
        <is>
          <t>Positive alpha (+1.08%). ER spread (1.07%) justified by alpha.</t>
        </is>
      </c>
    </row>
    <row r="34" ht="45" customHeight="1">
      <c r="A34" s="8" t="n">
        <v>30</v>
      </c>
      <c r="B34" s="11" t="inlineStr">
        <is>
          <t>Kotak Large Cap Fund(IDCW)</t>
        </is>
      </c>
      <c r="C34" s="8" t="inlineStr">
        <is>
          <t>Large Cap</t>
        </is>
      </c>
      <c r="D34" s="8" t="n">
        <v>56.1</v>
      </c>
      <c r="E34" s="18" t="inlineStr">
        <is>
          <t>Hold</t>
        </is>
      </c>
      <c r="F34" s="8" t="n">
        <v>1.1</v>
      </c>
      <c r="G34" s="26" t="inlineStr">
        <is>
          <t>Marginal</t>
        </is>
      </c>
      <c r="H34" s="11" t="inlineStr">
        <is>
          <t>Rohit Tandon</t>
        </is>
      </c>
      <c r="I34" s="8" t="inlineStr">
        <is>
          <t>H</t>
        </is>
      </c>
      <c r="J34" s="8" t="inlineStr">
        <is>
          <t>No — AUM Manageable</t>
        </is>
      </c>
      <c r="K34" s="8" t="inlineStr">
        <is>
          <t>Low</t>
        </is>
      </c>
      <c r="L34" s="11" t="inlineStr">
        <is>
          <t>Moderate Core</t>
        </is>
      </c>
      <c r="M34" s="5" t="inlineStr"/>
      <c r="N34" s="8" t="inlineStr">
        <is>
          <t>Watchlist</t>
        </is>
      </c>
      <c r="O34" s="8" t="n">
        <v>7</v>
      </c>
      <c r="P34" s="30" t="inlineStr">
        <is>
          <t>Positive alpha (+0.32%).</t>
        </is>
      </c>
    </row>
    <row r="35" ht="45" customHeight="1">
      <c r="A35" s="14" t="n">
        <v>31</v>
      </c>
      <c r="B35" s="16" t="inlineStr">
        <is>
          <t>HSBC Flexi Cap Fund</t>
        </is>
      </c>
      <c r="C35" s="14" t="inlineStr">
        <is>
          <t>Flexi Cap</t>
        </is>
      </c>
      <c r="D35" s="14" t="n">
        <v>55.8</v>
      </c>
      <c r="E35" s="18" t="inlineStr">
        <is>
          <t>Hold</t>
        </is>
      </c>
      <c r="F35" s="14" t="n">
        <v>0.73</v>
      </c>
      <c r="G35" s="9" t="inlineStr">
        <is>
          <t>Yes</t>
        </is>
      </c>
      <c r="H35" s="16" t="inlineStr">
        <is>
          <t>Abhishek Gupta</t>
        </is>
      </c>
      <c r="I35" s="14" t="inlineStr">
        <is>
          <t>H</t>
        </is>
      </c>
      <c r="J35" s="14" t="inlineStr">
        <is>
          <t>No — AUM Manageable</t>
        </is>
      </c>
      <c r="K35" s="14" t="inlineStr">
        <is>
          <t>Low</t>
        </is>
      </c>
      <c r="L35" s="16" t="inlineStr">
        <is>
          <t>Moderate Core</t>
        </is>
      </c>
      <c r="M35" s="35" t="inlineStr"/>
      <c r="N35" s="14" t="inlineStr">
        <is>
          <t>Watchlist</t>
        </is>
      </c>
      <c r="O35" s="14" t="n">
        <v>10</v>
      </c>
      <c r="P35" s="29" t="inlineStr">
        <is>
          <t>Positive alpha (+1.58%). amplifies drawdowns (DC 111). ER spread (0.73%) justified by alpha.</t>
        </is>
      </c>
    </row>
    <row r="36" ht="45" customHeight="1">
      <c r="A36" s="8" t="n">
        <v>32</v>
      </c>
      <c r="B36" s="11" t="inlineStr">
        <is>
          <t>ICICI Pru Flexicap Fund</t>
        </is>
      </c>
      <c r="C36" s="8" t="inlineStr">
        <is>
          <t>Flexi Cap</t>
        </is>
      </c>
      <c r="D36" s="8" t="n">
        <v>55.7</v>
      </c>
      <c r="E36" s="18" t="inlineStr">
        <is>
          <t>Hold</t>
        </is>
      </c>
      <c r="F36" s="8" t="n">
        <v>0.89</v>
      </c>
      <c r="G36" s="28" t="inlineStr">
        <is>
          <t>No</t>
        </is>
      </c>
      <c r="H36" s="11" t="inlineStr">
        <is>
          <t>Rajat Chandak</t>
        </is>
      </c>
      <c r="I36" s="8" t="inlineStr">
        <is>
          <t>H</t>
        </is>
      </c>
      <c r="J36" s="8" t="inlineStr">
        <is>
          <t>No — AUM Manageable</t>
        </is>
      </c>
      <c r="K36" s="8" t="inlineStr">
        <is>
          <t>Low</t>
        </is>
      </c>
      <c r="L36" s="11" t="inlineStr">
        <is>
          <t>Moderate Core</t>
        </is>
      </c>
      <c r="M36" s="5" t="inlineStr"/>
      <c r="N36" s="8" t="inlineStr">
        <is>
          <t>Watchlist</t>
        </is>
      </c>
      <c r="O36" s="8" t="n">
        <v>11</v>
      </c>
      <c r="P36" s="30" t="inlineStr">
        <is>
          <t>Negative alpha (-3.50%). ER spread (0.89%) NOT justified.</t>
        </is>
      </c>
    </row>
    <row r="37" ht="45" customHeight="1">
      <c r="A37" s="14" t="n">
        <v>33</v>
      </c>
      <c r="B37" s="16" t="inlineStr">
        <is>
          <t>ICICI Pru Smallcap Fund</t>
        </is>
      </c>
      <c r="C37" s="14" t="inlineStr">
        <is>
          <t>Small Cap</t>
        </is>
      </c>
      <c r="D37" s="14" t="n">
        <v>55.3</v>
      </c>
      <c r="E37" s="18" t="inlineStr">
        <is>
          <t>Hold</t>
        </is>
      </c>
      <c r="F37" s="14" t="n">
        <v>1.01</v>
      </c>
      <c r="G37" s="28" t="inlineStr">
        <is>
          <t>No</t>
        </is>
      </c>
      <c r="H37" s="16" t="inlineStr">
        <is>
          <t>Rajat Chandak; Aatur Shah</t>
        </is>
      </c>
      <c r="I37" s="14" t="inlineStr">
        <is>
          <t>M</t>
        </is>
      </c>
      <c r="J37" s="14" t="inlineStr">
        <is>
          <t>Monitor</t>
        </is>
      </c>
      <c r="K37" s="14" t="inlineStr">
        <is>
          <t>Low</t>
        </is>
      </c>
      <c r="L37" s="16" t="inlineStr">
        <is>
          <t>Moderate Core</t>
        </is>
      </c>
      <c r="M37" s="35" t="inlineStr"/>
      <c r="N37" s="14" t="inlineStr">
        <is>
          <t>Watchlist</t>
        </is>
      </c>
      <c r="O37" s="14" t="n">
        <v>7</v>
      </c>
      <c r="P37" s="29" t="inlineStr">
        <is>
          <t>Negative alpha (-6.46%). strong downside protection (DC 72). ER spread (1.01%) NOT justified.</t>
        </is>
      </c>
    </row>
    <row r="38" ht="45" customHeight="1">
      <c r="A38" s="8" t="n">
        <v>34</v>
      </c>
      <c r="B38" s="11" t="inlineStr">
        <is>
          <t>DSP Flexi Cap Fund-Reg(IDCW)</t>
        </is>
      </c>
      <c r="C38" s="8" t="inlineStr">
        <is>
          <t>Flexi Cap</t>
        </is>
      </c>
      <c r="D38" s="8" t="n">
        <v>55.1</v>
      </c>
      <c r="E38" s="18" t="inlineStr">
        <is>
          <t>Hold</t>
        </is>
      </c>
      <c r="F38" s="8" t="n">
        <v>1.03</v>
      </c>
      <c r="G38" s="26" t="inlineStr">
        <is>
          <t>Marginal</t>
        </is>
      </c>
      <c r="H38" s="11" t="inlineStr">
        <is>
          <t>Bhavin Gandhi</t>
        </is>
      </c>
      <c r="I38" s="8" t="inlineStr">
        <is>
          <t>H</t>
        </is>
      </c>
      <c r="J38" s="8" t="inlineStr">
        <is>
          <t>No — AUM Manageable</t>
        </is>
      </c>
      <c r="K38" s="8" t="inlineStr">
        <is>
          <t>Low</t>
        </is>
      </c>
      <c r="L38" s="11" t="inlineStr">
        <is>
          <t>Moderate Core</t>
        </is>
      </c>
      <c r="M38" s="5" t="inlineStr"/>
      <c r="N38" s="8" t="inlineStr">
        <is>
          <t>Watchlist</t>
        </is>
      </c>
      <c r="O38" s="8" t="n">
        <v>12</v>
      </c>
      <c r="P38" s="30" t="inlineStr">
        <is>
          <t>Positive alpha (+0.19%).</t>
        </is>
      </c>
    </row>
    <row r="39" ht="45" customHeight="1">
      <c r="A39" s="14" t="n">
        <v>35</v>
      </c>
      <c r="B39" s="16" t="inlineStr">
        <is>
          <t>ITI Mid Cap Fund</t>
        </is>
      </c>
      <c r="C39" s="14" t="inlineStr">
        <is>
          <t>Mid Cap</t>
        </is>
      </c>
      <c r="D39" s="14" t="n">
        <v>53.9</v>
      </c>
      <c r="E39" s="18" t="inlineStr">
        <is>
          <t>Hold</t>
        </is>
      </c>
      <c r="F39" s="14" t="n">
        <v>1.71</v>
      </c>
      <c r="G39" s="28" t="inlineStr">
        <is>
          <t>No</t>
        </is>
      </c>
      <c r="H39" s="16" t="inlineStr">
        <is>
          <t>Rohan Korde; Dhimant Shah</t>
        </is>
      </c>
      <c r="I39" s="14" t="inlineStr">
        <is>
          <t>M</t>
        </is>
      </c>
      <c r="J39" s="14" t="inlineStr">
        <is>
          <t>No — AUM Manageable</t>
        </is>
      </c>
      <c r="K39" s="14" t="inlineStr">
        <is>
          <t>Medium</t>
        </is>
      </c>
      <c r="L39" s="16" t="inlineStr">
        <is>
          <t>Moderate Core</t>
        </is>
      </c>
      <c r="M39" s="35" t="inlineStr"/>
      <c r="N39" s="14" t="inlineStr">
        <is>
          <t>Watchlist</t>
        </is>
      </c>
      <c r="O39" s="14" t="n">
        <v>9</v>
      </c>
      <c r="P39" s="29" t="inlineStr">
        <is>
          <t>Negative alpha (-0.00%). ER spread (1.71%) NOT justified.</t>
        </is>
      </c>
    </row>
    <row r="40" ht="45" customHeight="1">
      <c r="A40" s="8" t="n">
        <v>36</v>
      </c>
      <c r="B40" s="11" t="inlineStr">
        <is>
          <t>Franklin India Small Cap Fund</t>
        </is>
      </c>
      <c r="C40" s="8" t="inlineStr">
        <is>
          <t>Small Cap</t>
        </is>
      </c>
      <c r="D40" s="8" t="n">
        <v>53.2</v>
      </c>
      <c r="E40" s="18" t="inlineStr">
        <is>
          <t>Hold</t>
        </is>
      </c>
      <c r="F40" s="8" t="n">
        <v>0.8100000000000001</v>
      </c>
      <c r="G40" s="28" t="inlineStr">
        <is>
          <t>No</t>
        </is>
      </c>
      <c r="H40" s="11" t="inlineStr">
        <is>
          <t>R. Janakiraman; Akhil Kalluri</t>
        </is>
      </c>
      <c r="I40" s="8" t="inlineStr">
        <is>
          <t>M</t>
        </is>
      </c>
      <c r="J40" s="8" t="inlineStr">
        <is>
          <t>Monitor</t>
        </is>
      </c>
      <c r="K40" s="8" t="inlineStr">
        <is>
          <t>Low</t>
        </is>
      </c>
      <c r="L40" s="11" t="inlineStr">
        <is>
          <t>Moderate Core</t>
        </is>
      </c>
      <c r="M40" s="5" t="inlineStr"/>
      <c r="N40" s="8" t="inlineStr">
        <is>
          <t>Watchlist</t>
        </is>
      </c>
      <c r="O40" s="8" t="n">
        <v>8</v>
      </c>
      <c r="P40" s="30" t="inlineStr">
        <is>
          <t>Negative alpha (-3.74%). strong downside protection (DC 86). ER spread (0.81%) NOT justified.</t>
        </is>
      </c>
    </row>
    <row r="41" ht="45" customHeight="1">
      <c r="A41" s="14" t="n">
        <v>37</v>
      </c>
      <c r="B41" s="16" t="inlineStr">
        <is>
          <t>Invesco India Midcap Fund</t>
        </is>
      </c>
      <c r="C41" s="14" t="inlineStr">
        <is>
          <t>Mid Cap</t>
        </is>
      </c>
      <c r="D41" s="14" t="n">
        <v>52.8</v>
      </c>
      <c r="E41" s="18" t="inlineStr">
        <is>
          <t>Hold</t>
        </is>
      </c>
      <c r="F41" s="14" t="n">
        <v>1.17</v>
      </c>
      <c r="G41" s="28" t="inlineStr">
        <is>
          <t>No</t>
        </is>
      </c>
      <c r="H41" s="16" t="inlineStr">
        <is>
          <t>Aditya Khemani</t>
        </is>
      </c>
      <c r="I41" s="14" t="inlineStr">
        <is>
          <t>H</t>
        </is>
      </c>
      <c r="J41" s="14" t="inlineStr">
        <is>
          <t>Monitor</t>
        </is>
      </c>
      <c r="K41" s="14" t="inlineStr">
        <is>
          <t>Medium</t>
        </is>
      </c>
      <c r="L41" s="16" t="inlineStr">
        <is>
          <t>Moderate Core</t>
        </is>
      </c>
      <c r="M41" s="35" t="inlineStr"/>
      <c r="N41" s="14" t="inlineStr">
        <is>
          <t>Watchlist</t>
        </is>
      </c>
      <c r="O41" s="14" t="n">
        <v>10</v>
      </c>
      <c r="P41" s="29" t="inlineStr">
        <is>
          <t>Negative alpha (-3.33%). amplifies drawdowns (DC 110). ER spread (1.17%) NOT justified.</t>
        </is>
      </c>
    </row>
    <row r="42" ht="45" customHeight="1">
      <c r="A42" s="8" t="n">
        <v>38</v>
      </c>
      <c r="B42" s="11" t="inlineStr">
        <is>
          <t>Franklin India Mid Cap Fund</t>
        </is>
      </c>
      <c r="C42" s="8" t="inlineStr">
        <is>
          <t>Mid Cap</t>
        </is>
      </c>
      <c r="D42" s="8" t="n">
        <v>52.2</v>
      </c>
      <c r="E42" s="18" t="inlineStr">
        <is>
          <t>Hold</t>
        </is>
      </c>
      <c r="F42" s="8" t="n">
        <v>0.78</v>
      </c>
      <c r="G42" s="28" t="inlineStr">
        <is>
          <t>No</t>
        </is>
      </c>
      <c r="H42" s="11" t="inlineStr">
        <is>
          <t>R. Janakiraman; Akhil Kalluri</t>
        </is>
      </c>
      <c r="I42" s="8" t="inlineStr">
        <is>
          <t>M</t>
        </is>
      </c>
      <c r="J42" s="8" t="inlineStr">
        <is>
          <t>Monitor</t>
        </is>
      </c>
      <c r="K42" s="8" t="inlineStr">
        <is>
          <t>Low</t>
        </is>
      </c>
      <c r="L42" s="11" t="inlineStr">
        <is>
          <t>Moderate Core</t>
        </is>
      </c>
      <c r="M42" s="5" t="inlineStr"/>
      <c r="N42" s="8" t="inlineStr">
        <is>
          <t>Watchlist</t>
        </is>
      </c>
      <c r="O42" s="8" t="n">
        <v>11</v>
      </c>
      <c r="P42" s="30" t="inlineStr">
        <is>
          <t>Negative alpha (-2.86%). ER spread (0.78%) NOT justified.</t>
        </is>
      </c>
    </row>
    <row r="43" ht="45" customHeight="1">
      <c r="A43" s="14" t="n">
        <v>39</v>
      </c>
      <c r="B43" s="16" t="inlineStr">
        <is>
          <t>JM Midcap Fund</t>
        </is>
      </c>
      <c r="C43" s="14" t="inlineStr">
        <is>
          <t>Mid Cap</t>
        </is>
      </c>
      <c r="D43" s="14" t="n">
        <v>49.8</v>
      </c>
      <c r="E43" s="19" t="inlineStr">
        <is>
          <t>Underweight</t>
        </is>
      </c>
      <c r="F43" s="14" t="n">
        <v>1.46</v>
      </c>
      <c r="G43" s="28" t="inlineStr">
        <is>
          <t>No</t>
        </is>
      </c>
      <c r="H43" s="16" t="inlineStr">
        <is>
          <t>Satish Ramanathan; Asit Bhandarkar</t>
        </is>
      </c>
      <c r="I43" s="14" t="inlineStr">
        <is>
          <t>M</t>
        </is>
      </c>
      <c r="J43" s="14" t="inlineStr">
        <is>
          <t>No — AUM Manageable</t>
        </is>
      </c>
      <c r="K43" s="14" t="inlineStr">
        <is>
          <t>Medium</t>
        </is>
      </c>
      <c r="L43" s="16" t="inlineStr">
        <is>
          <t>Not Recommended</t>
        </is>
      </c>
      <c r="M43" s="35" t="inlineStr"/>
      <c r="N43" s="14" t="inlineStr">
        <is>
          <t>Not Recommended</t>
        </is>
      </c>
      <c r="O43" s="14" t="n">
        <v>12</v>
      </c>
      <c r="P43" s="29" t="inlineStr">
        <is>
          <t>Negative alpha (-1.03%). ER spread (1.46%) NOT justified.</t>
        </is>
      </c>
    </row>
    <row r="44" ht="45" customHeight="1">
      <c r="A44" s="8" t="n">
        <v>40</v>
      </c>
      <c r="B44" s="11" t="inlineStr">
        <is>
          <t>Bandhan Flexi Cap Fund</t>
        </is>
      </c>
      <c r="C44" s="8" t="inlineStr">
        <is>
          <t>Flexi Cap</t>
        </is>
      </c>
      <c r="D44" s="8" t="n">
        <v>47.7</v>
      </c>
      <c r="E44" s="19" t="inlineStr">
        <is>
          <t>Underweight</t>
        </is>
      </c>
      <c r="F44" s="8" t="n">
        <v>0.73</v>
      </c>
      <c r="G44" s="28" t="inlineStr">
        <is>
          <t>No</t>
        </is>
      </c>
      <c r="H44" s="11" t="inlineStr">
        <is>
          <t>Manish Gunwani; Viraj Kulkarni</t>
        </is>
      </c>
      <c r="I44" s="8" t="inlineStr">
        <is>
          <t>M</t>
        </is>
      </c>
      <c r="J44" s="8" t="inlineStr">
        <is>
          <t>No — AUM Manageable</t>
        </is>
      </c>
      <c r="K44" s="8" t="inlineStr">
        <is>
          <t>Medium</t>
        </is>
      </c>
      <c r="L44" s="11" t="inlineStr">
        <is>
          <t>Not Recommended</t>
        </is>
      </c>
      <c r="M44" s="5" t="inlineStr"/>
      <c r="N44" s="8" t="inlineStr">
        <is>
          <t>Not Recommended</t>
        </is>
      </c>
      <c r="O44" s="8" t="n">
        <v>13</v>
      </c>
      <c r="P44" s="30" t="inlineStr">
        <is>
          <t>Negative alpha (-5.86%). ER spread (0.73%) NOT justified.</t>
        </is>
      </c>
    </row>
    <row r="45" ht="45" customHeight="1">
      <c r="A45" s="14" t="n">
        <v>41</v>
      </c>
      <c r="B45" s="16" t="inlineStr">
        <is>
          <t>JM Flexicap Fund</t>
        </is>
      </c>
      <c r="C45" s="14" t="inlineStr">
        <is>
          <t>Flexi Cap</t>
        </is>
      </c>
      <c r="D45" s="14" t="n">
        <v>47.4</v>
      </c>
      <c r="E45" s="19" t="inlineStr">
        <is>
          <t>Underweight</t>
        </is>
      </c>
      <c r="F45" s="14" t="n">
        <v>1.18</v>
      </c>
      <c r="G45" s="28" t="inlineStr">
        <is>
          <t>No</t>
        </is>
      </c>
      <c r="H45" s="16" t="inlineStr">
        <is>
          <t>Satish Ramanathan; Asit Bhandarkar</t>
        </is>
      </c>
      <c r="I45" s="14" t="inlineStr">
        <is>
          <t>M</t>
        </is>
      </c>
      <c r="J45" s="14" t="inlineStr">
        <is>
          <t>No — AUM Manageable</t>
        </is>
      </c>
      <c r="K45" s="14" t="inlineStr">
        <is>
          <t>High</t>
        </is>
      </c>
      <c r="L45" s="16" t="inlineStr">
        <is>
          <t>Not Recommended</t>
        </is>
      </c>
      <c r="M45" s="35" t="inlineStr"/>
      <c r="N45" s="14" t="inlineStr">
        <is>
          <t>Not Recommended</t>
        </is>
      </c>
      <c r="O45" s="14" t="n">
        <v>14</v>
      </c>
      <c r="P45" s="29" t="inlineStr">
        <is>
          <t>Negative alpha (-2.86%). amplifies drawdowns (DC 108). ER spread (1.18%) NOT justified.</t>
        </is>
      </c>
    </row>
    <row r="46" ht="45" customHeight="1">
      <c r="A46" s="8" t="n">
        <v>42</v>
      </c>
      <c r="B46" s="11" t="inlineStr">
        <is>
          <t>SBI Large Cap Fund</t>
        </is>
      </c>
      <c r="C46" s="8" t="inlineStr">
        <is>
          <t>Large Cap</t>
        </is>
      </c>
      <c r="D46" s="8" t="n">
        <v>46.4</v>
      </c>
      <c r="E46" s="19" t="inlineStr">
        <is>
          <t>Underweight</t>
        </is>
      </c>
      <c r="F46" s="8" t="n">
        <v>0.68</v>
      </c>
      <c r="G46" s="28" t="inlineStr">
        <is>
          <t>No</t>
        </is>
      </c>
      <c r="H46" s="11" t="inlineStr">
        <is>
          <t>Saurabh Pant</t>
        </is>
      </c>
      <c r="I46" s="8" t="inlineStr">
        <is>
          <t>H</t>
        </is>
      </c>
      <c r="J46" s="8" t="inlineStr">
        <is>
          <t>Yes — Capacity Concern</t>
        </is>
      </c>
      <c r="K46" s="8" t="inlineStr">
        <is>
          <t>Low</t>
        </is>
      </c>
      <c r="L46" s="11" t="inlineStr">
        <is>
          <t>Not Recommended</t>
        </is>
      </c>
      <c r="M46" s="5" t="inlineStr"/>
      <c r="N46" s="8" t="inlineStr">
        <is>
          <t>Not Recommended</t>
        </is>
      </c>
      <c r="O46" s="8" t="n">
        <v>8</v>
      </c>
      <c r="P46" s="30" t="inlineStr">
        <is>
          <t>Negative alpha (-6.75%). strong downside protection (DC 85). ER spread (0.68%) NOT justified.</t>
        </is>
      </c>
    </row>
    <row r="47" ht="45" customHeight="1">
      <c r="A47" s="14" t="n">
        <v>43</v>
      </c>
      <c r="B47" s="16" t="inlineStr">
        <is>
          <t>Franklin India Large Cap Fund</t>
        </is>
      </c>
      <c r="C47" s="14" t="inlineStr">
        <is>
          <t>Large Cap</t>
        </is>
      </c>
      <c r="D47" s="14" t="n">
        <v>45.2</v>
      </c>
      <c r="E47" s="19" t="inlineStr">
        <is>
          <t>Underweight</t>
        </is>
      </c>
      <c r="F47" s="14" t="n">
        <v>0.72</v>
      </c>
      <c r="G47" s="28" t="inlineStr">
        <is>
          <t>No</t>
        </is>
      </c>
      <c r="H47" s="16" t="inlineStr">
        <is>
          <t>Venkatesh Sanjeevi; Ajay Argal</t>
        </is>
      </c>
      <c r="I47" s="14" t="inlineStr">
        <is>
          <t>M</t>
        </is>
      </c>
      <c r="J47" s="14" t="inlineStr">
        <is>
          <t>No — AUM Manageable</t>
        </is>
      </c>
      <c r="K47" s="14" t="inlineStr">
        <is>
          <t>Low</t>
        </is>
      </c>
      <c r="L47" s="16" t="inlineStr">
        <is>
          <t>Not Recommended</t>
        </is>
      </c>
      <c r="M47" s="35" t="inlineStr"/>
      <c r="N47" s="14" t="inlineStr">
        <is>
          <t>Not Recommended</t>
        </is>
      </c>
      <c r="O47" s="14" t="n">
        <v>9</v>
      </c>
      <c r="P47" s="29" t="inlineStr">
        <is>
          <t>Negative alpha (-0.01%). ER spread (0.72%) NOT justified.</t>
        </is>
      </c>
    </row>
    <row r="48" ht="45" customHeight="1">
      <c r="A48" s="8" t="n">
        <v>44</v>
      </c>
      <c r="B48" s="11" t="inlineStr">
        <is>
          <t>Union Small Cap Fund</t>
        </is>
      </c>
      <c r="C48" s="8" t="inlineStr">
        <is>
          <t>Small Cap</t>
        </is>
      </c>
      <c r="D48" s="8" t="n">
        <v>44.9</v>
      </c>
      <c r="E48" s="19" t="inlineStr">
        <is>
          <t>Underweight</t>
        </is>
      </c>
      <c r="F48" s="8" t="n">
        <v>1.07</v>
      </c>
      <c r="G48" s="28" t="inlineStr">
        <is>
          <t>No</t>
        </is>
      </c>
      <c r="H48" s="11" t="inlineStr">
        <is>
          <t>Pratik Dharmshi; Gaurav Chopra</t>
        </is>
      </c>
      <c r="I48" s="8" t="inlineStr">
        <is>
          <t>M</t>
        </is>
      </c>
      <c r="J48" s="8" t="inlineStr">
        <is>
          <t>No — AUM Manageable</t>
        </is>
      </c>
      <c r="K48" s="8" t="inlineStr">
        <is>
          <t>Low</t>
        </is>
      </c>
      <c r="L48" s="11" t="inlineStr">
        <is>
          <t>Not Recommended</t>
        </is>
      </c>
      <c r="M48" s="5" t="inlineStr"/>
      <c r="N48" s="8" t="inlineStr">
        <is>
          <t>Not Recommended</t>
        </is>
      </c>
      <c r="O48" s="8" t="n">
        <v>9</v>
      </c>
      <c r="P48" s="30" t="inlineStr">
        <is>
          <t>Negative alpha (-7.81%). strong downside protection (DC 81). ER spread (1.07%) NOT justified.</t>
        </is>
      </c>
    </row>
    <row r="49" ht="45" customHeight="1">
      <c r="A49" s="14" t="n">
        <v>45</v>
      </c>
      <c r="B49" s="16" t="inlineStr">
        <is>
          <t>Invesco India Flexi Cap Fund</t>
        </is>
      </c>
      <c r="C49" s="14" t="inlineStr">
        <is>
          <t>Flexi Cap</t>
        </is>
      </c>
      <c r="D49" s="14" t="n">
        <v>44.9</v>
      </c>
      <c r="E49" s="19" t="inlineStr">
        <is>
          <t>Underweight</t>
        </is>
      </c>
      <c r="F49" s="14" t="n">
        <v>1.32</v>
      </c>
      <c r="G49" s="28" t="inlineStr">
        <is>
          <t>No</t>
        </is>
      </c>
      <c r="H49" s="16" t="inlineStr">
        <is>
          <t>Taher Badshah</t>
        </is>
      </c>
      <c r="I49" s="14" t="inlineStr">
        <is>
          <t>H</t>
        </is>
      </c>
      <c r="J49" s="14" t="inlineStr">
        <is>
          <t>No — AUM Manageable</t>
        </is>
      </c>
      <c r="K49" s="14" t="inlineStr">
        <is>
          <t>Medium</t>
        </is>
      </c>
      <c r="L49" s="16" t="inlineStr">
        <is>
          <t>Not Recommended</t>
        </is>
      </c>
      <c r="M49" s="35" t="inlineStr"/>
      <c r="N49" s="14" t="inlineStr">
        <is>
          <t>Not Recommended</t>
        </is>
      </c>
      <c r="O49" s="14" t="n">
        <v>15</v>
      </c>
      <c r="P49" s="29" t="inlineStr">
        <is>
          <t>Negative alpha (-2.75%). amplifies drawdowns (DC 112). ER spread (1.32%) NOT justified.</t>
        </is>
      </c>
    </row>
    <row r="50" ht="45" customHeight="1">
      <c r="A50" s="8" t="n">
        <v>46</v>
      </c>
      <c r="B50" s="11" t="inlineStr">
        <is>
          <t>Quant Flexi Cap Fund</t>
        </is>
      </c>
      <c r="C50" s="8" t="inlineStr">
        <is>
          <t>Flexi Cap</t>
        </is>
      </c>
      <c r="D50" s="8" t="n">
        <v>44</v>
      </c>
      <c r="E50" s="19" t="inlineStr">
        <is>
          <t>Underweight</t>
        </is>
      </c>
      <c r="F50" s="8" t="n">
        <v>1.12</v>
      </c>
      <c r="G50" s="9" t="inlineStr">
        <is>
          <t>Yes</t>
        </is>
      </c>
      <c r="H50" s="11" t="inlineStr">
        <is>
          <t>Sandeep Tandon; Ankit Pande</t>
        </is>
      </c>
      <c r="I50" s="8" t="inlineStr">
        <is>
          <t>M</t>
        </is>
      </c>
      <c r="J50" s="8" t="inlineStr">
        <is>
          <t>No — AUM Manageable</t>
        </is>
      </c>
      <c r="K50" s="8" t="inlineStr">
        <is>
          <t>High</t>
        </is>
      </c>
      <c r="L50" s="11" t="inlineStr">
        <is>
          <t>Not Recommended</t>
        </is>
      </c>
      <c r="M50" s="5" t="inlineStr"/>
      <c r="N50" s="8" t="inlineStr">
        <is>
          <t>Not Recommended</t>
        </is>
      </c>
      <c r="O50" s="8" t="n">
        <v>16</v>
      </c>
      <c r="P50" s="30" t="inlineStr">
        <is>
          <t>Positive alpha (+1.22%). amplifies drawdowns (DC 123). ER spread (1.12%) justified by alpha.</t>
        </is>
      </c>
    </row>
    <row r="51" ht="45" customHeight="1">
      <c r="A51" s="14" t="n">
        <v>47</v>
      </c>
      <c r="B51" s="16" t="inlineStr">
        <is>
          <t>Mahindra Manulife Flexi Cap Fund</t>
        </is>
      </c>
      <c r="C51" s="14" t="inlineStr">
        <is>
          <t>Flexi Cap</t>
        </is>
      </c>
      <c r="D51" s="14" t="n">
        <v>43.6</v>
      </c>
      <c r="E51" s="19" t="inlineStr">
        <is>
          <t>Underweight</t>
        </is>
      </c>
      <c r="F51" s="14" t="n">
        <v>1.53</v>
      </c>
      <c r="G51" s="28" t="inlineStr">
        <is>
          <t>No</t>
        </is>
      </c>
      <c r="H51" s="16" t="inlineStr">
        <is>
          <t>Fatema Pacha; Neelesh Dhamnaskar</t>
        </is>
      </c>
      <c r="I51" s="14" t="inlineStr">
        <is>
          <t>M</t>
        </is>
      </c>
      <c r="J51" s="14" t="inlineStr">
        <is>
          <t>No — AUM Manageable</t>
        </is>
      </c>
      <c r="K51" s="14" t="inlineStr">
        <is>
          <t>Low</t>
        </is>
      </c>
      <c r="L51" s="16" t="inlineStr">
        <is>
          <t>Not Recommended</t>
        </is>
      </c>
      <c r="M51" s="35" t="inlineStr"/>
      <c r="N51" s="14" t="inlineStr">
        <is>
          <t>Not Recommended</t>
        </is>
      </c>
      <c r="O51" s="14" t="n">
        <v>17</v>
      </c>
      <c r="P51" s="29" t="inlineStr">
        <is>
          <t>Negative alpha (-1.24%). ER spread (1.53%) NOT justified.</t>
        </is>
      </c>
    </row>
    <row r="52" ht="45" customHeight="1">
      <c r="A52" s="8" t="n">
        <v>48</v>
      </c>
      <c r="B52" s="11" t="inlineStr">
        <is>
          <t>UTI Small Cap Fund</t>
        </is>
      </c>
      <c r="C52" s="8" t="inlineStr">
        <is>
          <t>Small Cap</t>
        </is>
      </c>
      <c r="D52" s="8" t="n">
        <v>42.2</v>
      </c>
      <c r="E52" s="19" t="inlineStr">
        <is>
          <t>Underweight</t>
        </is>
      </c>
      <c r="F52" s="8" t="n">
        <v>1.21</v>
      </c>
      <c r="G52" s="28" t="inlineStr">
        <is>
          <t>No</t>
        </is>
      </c>
      <c r="H52" s="11" t="inlineStr">
        <is>
          <t>Nitin Jain</t>
        </is>
      </c>
      <c r="I52" s="8" t="inlineStr">
        <is>
          <t>H</t>
        </is>
      </c>
      <c r="J52" s="8" t="inlineStr">
        <is>
          <t>No — AUM Manageable</t>
        </is>
      </c>
      <c r="K52" s="8" t="inlineStr">
        <is>
          <t>Low</t>
        </is>
      </c>
      <c r="L52" s="11" t="inlineStr">
        <is>
          <t>Not Recommended</t>
        </is>
      </c>
      <c r="M52" s="5" t="inlineStr"/>
      <c r="N52" s="8" t="inlineStr">
        <is>
          <t>Not Recommended</t>
        </is>
      </c>
      <c r="O52" s="8" t="n">
        <v>10</v>
      </c>
      <c r="P52" s="30" t="inlineStr">
        <is>
          <t>Negative alpha (-4.45%). strong downside protection (DC 84). ER spread (1.21%) NOT justified.</t>
        </is>
      </c>
    </row>
    <row r="53" ht="45" customHeight="1">
      <c r="A53" s="14" t="n">
        <v>49</v>
      </c>
      <c r="B53" s="16" t="inlineStr">
        <is>
          <t>Aditya Birla SL Large Cap Fund</t>
        </is>
      </c>
      <c r="C53" s="14" t="inlineStr">
        <is>
          <t>Large Cap</t>
        </is>
      </c>
      <c r="D53" s="14" t="n">
        <v>42</v>
      </c>
      <c r="E53" s="19" t="inlineStr">
        <is>
          <t>Underweight</t>
        </is>
      </c>
      <c r="F53" s="14" t="n">
        <v>0.66</v>
      </c>
      <c r="G53" s="26" t="inlineStr">
        <is>
          <t>Marginal</t>
        </is>
      </c>
      <c r="H53" s="16" t="inlineStr">
        <is>
          <t>Harish krishnan</t>
        </is>
      </c>
      <c r="I53" s="14" t="inlineStr">
        <is>
          <t>H</t>
        </is>
      </c>
      <c r="J53" s="14" t="inlineStr">
        <is>
          <t>No — AUM Manageable</t>
        </is>
      </c>
      <c r="K53" s="14" t="inlineStr">
        <is>
          <t>Low</t>
        </is>
      </c>
      <c r="L53" s="16" t="inlineStr">
        <is>
          <t>Not Recommended</t>
        </is>
      </c>
      <c r="M53" s="35" t="inlineStr"/>
      <c r="N53" s="14" t="inlineStr">
        <is>
          <t>Not Recommended</t>
        </is>
      </c>
      <c r="O53" s="14" t="n">
        <v>10</v>
      </c>
      <c r="P53" s="29" t="inlineStr">
        <is>
          <t>Positive alpha (+0.07%).</t>
        </is>
      </c>
    </row>
    <row r="54" ht="45" customHeight="1">
      <c r="A54" s="8" t="n">
        <v>50</v>
      </c>
      <c r="B54" s="11" t="inlineStr">
        <is>
          <t>Canara Rob Large Cap Fund</t>
        </is>
      </c>
      <c r="C54" s="8" t="inlineStr">
        <is>
          <t>Large Cap</t>
        </is>
      </c>
      <c r="D54" s="8" t="n">
        <v>41.8</v>
      </c>
      <c r="E54" s="19" t="inlineStr">
        <is>
          <t>Underweight</t>
        </is>
      </c>
      <c r="F54" s="8" t="n">
        <v>1.13</v>
      </c>
      <c r="G54" s="28" t="inlineStr">
        <is>
          <t>No</t>
        </is>
      </c>
      <c r="H54" s="11" t="inlineStr">
        <is>
          <t>Shridatta Bhandwaldar; Vishal Mishra</t>
        </is>
      </c>
      <c r="I54" s="8" t="inlineStr">
        <is>
          <t>M</t>
        </is>
      </c>
      <c r="J54" s="8" t="inlineStr">
        <is>
          <t>No — AUM Manageable</t>
        </is>
      </c>
      <c r="K54" s="8" t="inlineStr">
        <is>
          <t>Low</t>
        </is>
      </c>
      <c r="L54" s="11" t="inlineStr">
        <is>
          <t>Not Recommended</t>
        </is>
      </c>
      <c r="M54" s="5" t="inlineStr"/>
      <c r="N54" s="8" t="inlineStr">
        <is>
          <t>Not Recommended</t>
        </is>
      </c>
      <c r="O54" s="8" t="n">
        <v>11</v>
      </c>
      <c r="P54" s="30" t="inlineStr">
        <is>
          <t>Negative alpha (-6.32%). ER spread (1.13%) NOT justified.</t>
        </is>
      </c>
    </row>
    <row r="55" ht="45" customHeight="1">
      <c r="A55" s="14" t="n">
        <v>51</v>
      </c>
      <c r="B55" s="16" t="inlineStr">
        <is>
          <t>Nippon India Flexi Cap Fund</t>
        </is>
      </c>
      <c r="C55" s="14" t="inlineStr">
        <is>
          <t>Flexi Cap</t>
        </is>
      </c>
      <c r="D55" s="14" t="n">
        <v>41.1</v>
      </c>
      <c r="E55" s="19" t="inlineStr">
        <is>
          <t>Underweight</t>
        </is>
      </c>
      <c r="F55" s="14" t="n">
        <v>1.28</v>
      </c>
      <c r="G55" s="28" t="inlineStr">
        <is>
          <t>No</t>
        </is>
      </c>
      <c r="H55" s="16" t="inlineStr">
        <is>
          <t>Meenakshi Dawar; Dhrumil Shah</t>
        </is>
      </c>
      <c r="I55" s="14" t="inlineStr">
        <is>
          <t>M</t>
        </is>
      </c>
      <c r="J55" s="14" t="inlineStr">
        <is>
          <t>No — AUM Manageable</t>
        </is>
      </c>
      <c r="K55" s="14" t="inlineStr">
        <is>
          <t>Low</t>
        </is>
      </c>
      <c r="L55" s="16" t="inlineStr">
        <is>
          <t>Not Recommended</t>
        </is>
      </c>
      <c r="M55" s="35" t="inlineStr"/>
      <c r="N55" s="14" t="inlineStr">
        <is>
          <t>Not Recommended</t>
        </is>
      </c>
      <c r="O55" s="14" t="n">
        <v>18</v>
      </c>
      <c r="P55" s="29" t="inlineStr">
        <is>
          <t>Negative alpha (-1.08%). ER spread (1.28%) NOT justified.</t>
        </is>
      </c>
    </row>
    <row r="56" ht="45" customHeight="1">
      <c r="A56" s="8" t="n">
        <v>52</v>
      </c>
      <c r="B56" s="11" t="inlineStr">
        <is>
          <t>Mirae Asset Midcap Fund</t>
        </is>
      </c>
      <c r="C56" s="8" t="inlineStr">
        <is>
          <t>Mid Cap</t>
        </is>
      </c>
      <c r="D56" s="8" t="n">
        <v>40.6</v>
      </c>
      <c r="E56" s="19" t="inlineStr">
        <is>
          <t>Underweight</t>
        </is>
      </c>
      <c r="F56" s="8" t="n">
        <v>1.09</v>
      </c>
      <c r="G56" s="28" t="inlineStr">
        <is>
          <t>No</t>
        </is>
      </c>
      <c r="H56" s="11" t="inlineStr">
        <is>
          <t>Ankit Jain</t>
        </is>
      </c>
      <c r="I56" s="8" t="inlineStr">
        <is>
          <t>H</t>
        </is>
      </c>
      <c r="J56" s="8" t="inlineStr">
        <is>
          <t>Yes — Capacity Concern</t>
        </is>
      </c>
      <c r="K56" s="8" t="inlineStr">
        <is>
          <t>Medium</t>
        </is>
      </c>
      <c r="L56" s="11" t="inlineStr">
        <is>
          <t>Not Recommended</t>
        </is>
      </c>
      <c r="M56" s="5" t="inlineStr"/>
      <c r="N56" s="8" t="inlineStr">
        <is>
          <t>Not Recommended</t>
        </is>
      </c>
      <c r="O56" s="8" t="n">
        <v>13</v>
      </c>
      <c r="P56" s="30" t="inlineStr">
        <is>
          <t>Negative alpha (-3.03%). ER spread (1.09%) NOT justified.</t>
        </is>
      </c>
    </row>
    <row r="57" ht="45" customHeight="1">
      <c r="A57" s="14" t="n">
        <v>53</v>
      </c>
      <c r="B57" s="16" t="inlineStr">
        <is>
          <t>DSP Midcap Fund</t>
        </is>
      </c>
      <c r="C57" s="14" t="inlineStr">
        <is>
          <t>Mid Cap</t>
        </is>
      </c>
      <c r="D57" s="14" t="n">
        <v>40.2</v>
      </c>
      <c r="E57" s="19" t="inlineStr">
        <is>
          <t>Underweight</t>
        </is>
      </c>
      <c r="F57" s="14" t="n">
        <v>0.9399999999999999</v>
      </c>
      <c r="G57" s="28" t="inlineStr">
        <is>
          <t>No</t>
        </is>
      </c>
      <c r="H57" s="16" t="inlineStr">
        <is>
          <t>Vinit Sambre; Abhishek Ghosh</t>
        </is>
      </c>
      <c r="I57" s="14" t="inlineStr">
        <is>
          <t>M</t>
        </is>
      </c>
      <c r="J57" s="14" t="inlineStr">
        <is>
          <t>Yes — Capacity Concern</t>
        </is>
      </c>
      <c r="K57" s="14" t="inlineStr">
        <is>
          <t>Low</t>
        </is>
      </c>
      <c r="L57" s="16" t="inlineStr">
        <is>
          <t>Not Recommended</t>
        </is>
      </c>
      <c r="M57" s="35" t="inlineStr"/>
      <c r="N57" s="14" t="inlineStr">
        <is>
          <t>Not Recommended</t>
        </is>
      </c>
      <c r="O57" s="14" t="n">
        <v>14</v>
      </c>
      <c r="P57" s="29" t="inlineStr">
        <is>
          <t>Negative alpha (-3.28%). ER spread (0.94%) NOT justified.</t>
        </is>
      </c>
    </row>
    <row r="58" ht="45" customHeight="1">
      <c r="A58" s="8" t="n">
        <v>54</v>
      </c>
      <c r="B58" s="11" t="inlineStr">
        <is>
          <t>Canara Rob Small Cap Fund</t>
        </is>
      </c>
      <c r="C58" s="8" t="inlineStr">
        <is>
          <t>Small Cap</t>
        </is>
      </c>
      <c r="D58" s="8" t="n">
        <v>39.5</v>
      </c>
      <c r="E58" s="19" t="inlineStr">
        <is>
          <t>Underweight</t>
        </is>
      </c>
      <c r="F58" s="8" t="n">
        <v>1.15</v>
      </c>
      <c r="G58" s="28" t="inlineStr">
        <is>
          <t>No</t>
        </is>
      </c>
      <c r="H58" s="11" t="inlineStr">
        <is>
          <t>Pranav Gokhale; Shridatta Bhandwaldar</t>
        </is>
      </c>
      <c r="I58" s="8" t="inlineStr">
        <is>
          <t>M</t>
        </is>
      </c>
      <c r="J58" s="8" t="inlineStr">
        <is>
          <t>Monitor</t>
        </is>
      </c>
      <c r="K58" s="8" t="inlineStr">
        <is>
          <t>Low</t>
        </is>
      </c>
      <c r="L58" s="11" t="inlineStr">
        <is>
          <t>Not Recommended</t>
        </is>
      </c>
      <c r="M58" s="5" t="inlineStr"/>
      <c r="N58" s="8" t="inlineStr">
        <is>
          <t>Not Recommended</t>
        </is>
      </c>
      <c r="O58" s="8" t="n">
        <v>11</v>
      </c>
      <c r="P58" s="30" t="inlineStr">
        <is>
          <t>Negative alpha (-6.08%). strong downside protection (DC 82). ER spread (1.15%) NOT justified.</t>
        </is>
      </c>
    </row>
    <row r="59" ht="45" customHeight="1">
      <c r="A59" s="14" t="n">
        <v>55</v>
      </c>
      <c r="B59" s="16" t="inlineStr">
        <is>
          <t>Canara Rob Flexi Cap Fund</t>
        </is>
      </c>
      <c r="C59" s="14" t="inlineStr">
        <is>
          <t>Flexi Cap</t>
        </is>
      </c>
      <c r="D59" s="14" t="n">
        <v>38.7</v>
      </c>
      <c r="E59" s="19" t="inlineStr">
        <is>
          <t>Underweight</t>
        </is>
      </c>
      <c r="F59" s="14" t="n">
        <v>1.13</v>
      </c>
      <c r="G59" s="28" t="inlineStr">
        <is>
          <t>No</t>
        </is>
      </c>
      <c r="H59" s="16" t="inlineStr">
        <is>
          <t>Shridatta Bhandwaldar; Pranav Gokhale</t>
        </is>
      </c>
      <c r="I59" s="14" t="inlineStr">
        <is>
          <t>M</t>
        </is>
      </c>
      <c r="J59" s="14" t="inlineStr">
        <is>
          <t>No — AUM Manageable</t>
        </is>
      </c>
      <c r="K59" s="14" t="inlineStr">
        <is>
          <t>Low</t>
        </is>
      </c>
      <c r="L59" s="16" t="inlineStr">
        <is>
          <t>Not Recommended</t>
        </is>
      </c>
      <c r="M59" s="35" t="inlineStr"/>
      <c r="N59" s="14" t="inlineStr">
        <is>
          <t>Not Recommended</t>
        </is>
      </c>
      <c r="O59" s="14" t="n">
        <v>19</v>
      </c>
      <c r="P59" s="29" t="inlineStr">
        <is>
          <t>Negative alpha (-6.94%). ER spread (1.13%) NOT justified.</t>
        </is>
      </c>
    </row>
    <row r="60" ht="45" customHeight="1">
      <c r="A60" s="8" t="n">
        <v>56</v>
      </c>
      <c r="B60" s="11" t="inlineStr">
        <is>
          <t>Sundaram Flexi Cap Fund</t>
        </is>
      </c>
      <c r="C60" s="8" t="inlineStr">
        <is>
          <t>Flexi Cap</t>
        </is>
      </c>
      <c r="D60" s="8" t="n">
        <v>38.1</v>
      </c>
      <c r="E60" s="19" t="inlineStr">
        <is>
          <t>Underweight</t>
        </is>
      </c>
      <c r="F60" s="8" t="n">
        <v>1.34</v>
      </c>
      <c r="G60" s="28" t="inlineStr">
        <is>
          <t>No</t>
        </is>
      </c>
      <c r="H60" s="11" t="inlineStr">
        <is>
          <t>S. Bharath; Dwijendra Srivastava</t>
        </is>
      </c>
      <c r="I60" s="8" t="inlineStr">
        <is>
          <t>M</t>
        </is>
      </c>
      <c r="J60" s="8" t="inlineStr">
        <is>
          <t>No — AUM Manageable</t>
        </is>
      </c>
      <c r="K60" s="8" t="inlineStr">
        <is>
          <t>Low</t>
        </is>
      </c>
      <c r="L60" s="11" t="inlineStr">
        <is>
          <t>Not Recommended</t>
        </is>
      </c>
      <c r="M60" s="5" t="inlineStr"/>
      <c r="N60" s="8" t="inlineStr">
        <is>
          <t>Not Recommended</t>
        </is>
      </c>
      <c r="O60" s="8" t="n">
        <v>20</v>
      </c>
      <c r="P60" s="30" t="inlineStr">
        <is>
          <t>Negative alpha (-2.24%). strong downside protection (DC 89). ER spread (1.34%) NOT justified.</t>
        </is>
      </c>
    </row>
    <row r="61" ht="45" customHeight="1">
      <c r="A61" s="14" t="n">
        <v>57</v>
      </c>
      <c r="B61" s="16" t="inlineStr">
        <is>
          <t>Canara Rob Mid Cap Fund</t>
        </is>
      </c>
      <c r="C61" s="14" t="inlineStr">
        <is>
          <t>Mid Cap</t>
        </is>
      </c>
      <c r="D61" s="14" t="n">
        <v>37</v>
      </c>
      <c r="E61" s="19" t="inlineStr">
        <is>
          <t>Underweight</t>
        </is>
      </c>
      <c r="F61" s="14" t="n">
        <v>1.26</v>
      </c>
      <c r="G61" s="28" t="inlineStr">
        <is>
          <t>No</t>
        </is>
      </c>
      <c r="H61" s="16" t="inlineStr">
        <is>
          <t>Pranav Gokhale; Shridatta Bhandwaldar</t>
        </is>
      </c>
      <c r="I61" s="14" t="inlineStr">
        <is>
          <t>M</t>
        </is>
      </c>
      <c r="J61" s="14" t="inlineStr">
        <is>
          <t>No — AUM Manageable</t>
        </is>
      </c>
      <c r="K61" s="14" t="inlineStr">
        <is>
          <t>Low</t>
        </is>
      </c>
      <c r="L61" s="16" t="inlineStr">
        <is>
          <t>Not Recommended</t>
        </is>
      </c>
      <c r="M61" s="35" t="inlineStr"/>
      <c r="N61" s="14" t="inlineStr">
        <is>
          <t>Not Recommended</t>
        </is>
      </c>
      <c r="O61" s="14" t="n">
        <v>15</v>
      </c>
      <c r="P61" s="29" t="inlineStr">
        <is>
          <t>Negative alpha (-9.36%). ER spread (1.26%) NOT justified.</t>
        </is>
      </c>
    </row>
    <row r="62" ht="45" customHeight="1">
      <c r="A62" s="8" t="n">
        <v>58</v>
      </c>
      <c r="B62" s="11" t="inlineStr">
        <is>
          <t>SBI Midcap Fund</t>
        </is>
      </c>
      <c r="C62" s="8" t="inlineStr">
        <is>
          <t>Mid Cap</t>
        </is>
      </c>
      <c r="D62" s="8" t="n">
        <v>36.1</v>
      </c>
      <c r="E62" s="19" t="inlineStr">
        <is>
          <t>Underweight</t>
        </is>
      </c>
      <c r="F62" s="8" t="n">
        <v>0.8</v>
      </c>
      <c r="G62" s="28" t="inlineStr">
        <is>
          <t>No</t>
        </is>
      </c>
      <c r="H62" s="11" t="inlineStr">
        <is>
          <t>Bhavin Vithlani</t>
        </is>
      </c>
      <c r="I62" s="8" t="inlineStr">
        <is>
          <t>H</t>
        </is>
      </c>
      <c r="J62" s="8" t="inlineStr">
        <is>
          <t>Yes — Capacity Concern</t>
        </is>
      </c>
      <c r="K62" s="8" t="inlineStr">
        <is>
          <t>Low</t>
        </is>
      </c>
      <c r="L62" s="11" t="inlineStr">
        <is>
          <t>Not Recommended</t>
        </is>
      </c>
      <c r="M62" s="5" t="inlineStr"/>
      <c r="N62" s="8" t="inlineStr">
        <is>
          <t>Not Recommended</t>
        </is>
      </c>
      <c r="O62" s="8" t="n">
        <v>16</v>
      </c>
      <c r="P62" s="30" t="inlineStr">
        <is>
          <t>Negative alpha (-7.31%). strong downside protection (DC 87). ER spread (0.80%) NOT justified.</t>
        </is>
      </c>
    </row>
    <row r="63" ht="45" customHeight="1">
      <c r="A63" s="14" t="n">
        <v>59</v>
      </c>
      <c r="B63" s="16" t="inlineStr">
        <is>
          <t>Tata Large Cap Fund</t>
        </is>
      </c>
      <c r="C63" s="14" t="inlineStr">
        <is>
          <t>Large Cap</t>
        </is>
      </c>
      <c r="D63" s="14" t="n">
        <v>36</v>
      </c>
      <c r="E63" s="19" t="inlineStr">
        <is>
          <t>Underweight</t>
        </is>
      </c>
      <c r="F63" s="14" t="n">
        <v>1.02</v>
      </c>
      <c r="G63" s="26" t="inlineStr">
        <is>
          <t>Marginal</t>
        </is>
      </c>
      <c r="H63" s="16" t="inlineStr">
        <is>
          <t>Abhinav Sharma; Hasmukh Vishariya</t>
        </is>
      </c>
      <c r="I63" s="14" t="inlineStr">
        <is>
          <t>M</t>
        </is>
      </c>
      <c r="J63" s="14" t="inlineStr">
        <is>
          <t>No — AUM Manageable</t>
        </is>
      </c>
      <c r="K63" s="14" t="inlineStr">
        <is>
          <t>Low</t>
        </is>
      </c>
      <c r="L63" s="16" t="inlineStr">
        <is>
          <t>Not Recommended</t>
        </is>
      </c>
      <c r="M63" s="35" t="inlineStr"/>
      <c r="N63" s="14" t="inlineStr">
        <is>
          <t>Not Recommended</t>
        </is>
      </c>
      <c r="O63" s="14" t="n">
        <v>12</v>
      </c>
      <c r="P63" s="29" t="inlineStr">
        <is>
          <t>Positive alpha (+0.01%).</t>
        </is>
      </c>
    </row>
    <row r="64" ht="45" customHeight="1">
      <c r="A64" s="8" t="n">
        <v>60</v>
      </c>
      <c r="B64" s="11" t="inlineStr">
        <is>
          <t>Baroda BNP Paribas Flexi Cap Fund</t>
        </is>
      </c>
      <c r="C64" s="8" t="inlineStr">
        <is>
          <t>Flexi Cap</t>
        </is>
      </c>
      <c r="D64" s="8" t="n">
        <v>34.9</v>
      </c>
      <c r="E64" s="20" t="inlineStr">
        <is>
          <t>Avoid</t>
        </is>
      </c>
      <c r="F64" s="8" t="n">
        <v>1.17</v>
      </c>
      <c r="G64" s="28" t="inlineStr">
        <is>
          <t>No</t>
        </is>
      </c>
      <c r="H64" s="11" t="inlineStr">
        <is>
          <t>Sanjay Chawla; Kirtan Mehta</t>
        </is>
      </c>
      <c r="I64" s="8" t="inlineStr">
        <is>
          <t>M</t>
        </is>
      </c>
      <c r="J64" s="8" t="inlineStr">
        <is>
          <t>No — AUM Manageable</t>
        </is>
      </c>
      <c r="K64" s="8" t="inlineStr">
        <is>
          <t>Medium</t>
        </is>
      </c>
      <c r="L64" s="11" t="inlineStr">
        <is>
          <t>Not Recommended</t>
        </is>
      </c>
      <c r="M64" s="5" t="inlineStr"/>
      <c r="N64" s="8" t="inlineStr">
        <is>
          <t>Not Recommended</t>
        </is>
      </c>
      <c r="O64" s="8" t="n">
        <v>21</v>
      </c>
      <c r="P64" s="30" t="inlineStr">
        <is>
          <t>Negative alpha (-0.46%). amplifies drawdowns (DC 109). ER spread (1.17%) NOT justified.</t>
        </is>
      </c>
    </row>
    <row r="65" ht="45" customHeight="1">
      <c r="A65" s="14" t="n">
        <v>61</v>
      </c>
      <c r="B65" s="16" t="inlineStr">
        <is>
          <t>Axis Flexi Cap Fund</t>
        </is>
      </c>
      <c r="C65" s="14" t="inlineStr">
        <is>
          <t>Flexi Cap</t>
        </is>
      </c>
      <c r="D65" s="14" t="n">
        <v>34.5</v>
      </c>
      <c r="E65" s="20" t="inlineStr">
        <is>
          <t>Avoid</t>
        </is>
      </c>
      <c r="F65" s="14" t="n">
        <v>1</v>
      </c>
      <c r="G65" s="28" t="inlineStr">
        <is>
          <t>No</t>
        </is>
      </c>
      <c r="H65" s="16" t="inlineStr">
        <is>
          <t>Sachin Relekar; Krishnaa N</t>
        </is>
      </c>
      <c r="I65" s="14" t="inlineStr">
        <is>
          <t>M</t>
        </is>
      </c>
      <c r="J65" s="14" t="inlineStr">
        <is>
          <t>No — AUM Manageable</t>
        </is>
      </c>
      <c r="K65" s="14" t="inlineStr">
        <is>
          <t>Low</t>
        </is>
      </c>
      <c r="L65" s="16" t="inlineStr">
        <is>
          <t>Not Recommended</t>
        </is>
      </c>
      <c r="M65" s="35" t="inlineStr"/>
      <c r="N65" s="14" t="inlineStr">
        <is>
          <t>Not Recommended</t>
        </is>
      </c>
      <c r="O65" s="14" t="n">
        <v>22</v>
      </c>
      <c r="P65" s="29" t="inlineStr">
        <is>
          <t>Negative alpha (-1.35%). ER spread (1.00%) NOT justified.</t>
        </is>
      </c>
    </row>
    <row r="66" ht="45" customHeight="1">
      <c r="A66" s="8" t="n">
        <v>62</v>
      </c>
      <c r="B66" s="11" t="inlineStr">
        <is>
          <t>Union Midcap Fund</t>
        </is>
      </c>
      <c r="C66" s="8" t="inlineStr">
        <is>
          <t>Mid Cap</t>
        </is>
      </c>
      <c r="D66" s="8" t="n">
        <v>33.2</v>
      </c>
      <c r="E66" s="20" t="inlineStr">
        <is>
          <t>Avoid</t>
        </is>
      </c>
      <c r="F66" s="8" t="n">
        <v>1.3</v>
      </c>
      <c r="G66" s="28" t="inlineStr">
        <is>
          <t>No</t>
        </is>
      </c>
      <c r="H66" s="11" t="inlineStr">
        <is>
          <t>Gaurav Chopra; Pratik Dharmshi</t>
        </is>
      </c>
      <c r="I66" s="8" t="inlineStr">
        <is>
          <t>M</t>
        </is>
      </c>
      <c r="J66" s="8" t="inlineStr">
        <is>
          <t>No — AUM Manageable</t>
        </is>
      </c>
      <c r="K66" s="8" t="inlineStr">
        <is>
          <t>Medium</t>
        </is>
      </c>
      <c r="L66" s="11" t="inlineStr">
        <is>
          <t>Not Recommended</t>
        </is>
      </c>
      <c r="M66" s="5" t="inlineStr"/>
      <c r="N66" s="8" t="inlineStr">
        <is>
          <t>Not Recommended</t>
        </is>
      </c>
      <c r="O66" s="8" t="n">
        <v>17</v>
      </c>
      <c r="P66" s="30" t="inlineStr">
        <is>
          <t>Negative alpha (-8.12%). ER spread (1.30%) NOT justified.</t>
        </is>
      </c>
    </row>
    <row r="67" ht="45" customHeight="1">
      <c r="A67" s="14" t="n">
        <v>63</v>
      </c>
      <c r="B67" s="16" t="inlineStr">
        <is>
          <t>SBI Flexicap Fund</t>
        </is>
      </c>
      <c r="C67" s="14" t="inlineStr">
        <is>
          <t>Flexi Cap</t>
        </is>
      </c>
      <c r="D67" s="14" t="n">
        <v>32.9</v>
      </c>
      <c r="E67" s="20" t="inlineStr">
        <is>
          <t>Avoid</t>
        </is>
      </c>
      <c r="F67" s="14" t="n">
        <v>0.84</v>
      </c>
      <c r="G67" s="28" t="inlineStr">
        <is>
          <t>No</t>
        </is>
      </c>
      <c r="H67" s="16" t="inlineStr">
        <is>
          <t>Dinesh Balachandran; Anup Upadhyay</t>
        </is>
      </c>
      <c r="I67" s="14" t="inlineStr">
        <is>
          <t>M</t>
        </is>
      </c>
      <c r="J67" s="14" t="inlineStr">
        <is>
          <t>No — AUM Manageable</t>
        </is>
      </c>
      <c r="K67" s="14" t="inlineStr">
        <is>
          <t>Medium</t>
        </is>
      </c>
      <c r="L67" s="16" t="inlineStr">
        <is>
          <t>Not Recommended</t>
        </is>
      </c>
      <c r="M67" s="35" t="inlineStr"/>
      <c r="N67" s="14" t="inlineStr">
        <is>
          <t>Not Recommended</t>
        </is>
      </c>
      <c r="O67" s="14" t="n">
        <v>23</v>
      </c>
      <c r="P67" s="29" t="inlineStr">
        <is>
          <t>Negative alpha (-9.21%). strong downside protection (DC 87). ER spread (0.84%) NOT justified.</t>
        </is>
      </c>
    </row>
    <row r="68" ht="45" customHeight="1">
      <c r="A68" s="8" t="n">
        <v>64</v>
      </c>
      <c r="B68" s="11" t="inlineStr">
        <is>
          <t>Aditya Birla SL Midcap Fund</t>
        </is>
      </c>
      <c r="C68" s="8" t="inlineStr">
        <is>
          <t>Mid Cap</t>
        </is>
      </c>
      <c r="D68" s="8" t="n">
        <v>32.3</v>
      </c>
      <c r="E68" s="20" t="inlineStr">
        <is>
          <t>Avoid</t>
        </is>
      </c>
      <c r="F68" s="8" t="n">
        <v>0.85</v>
      </c>
      <c r="G68" s="28" t="inlineStr">
        <is>
          <t>No</t>
        </is>
      </c>
      <c r="H68" s="11" t="inlineStr">
        <is>
          <t>Vishal Gajwani</t>
        </is>
      </c>
      <c r="I68" s="8" t="inlineStr">
        <is>
          <t>H</t>
        </is>
      </c>
      <c r="J68" s="8" t="inlineStr">
        <is>
          <t>No — AUM Manageable</t>
        </is>
      </c>
      <c r="K68" s="8" t="inlineStr">
        <is>
          <t>Low</t>
        </is>
      </c>
      <c r="L68" s="11" t="inlineStr">
        <is>
          <t>Not Recommended</t>
        </is>
      </c>
      <c r="M68" s="5" t="inlineStr"/>
      <c r="N68" s="8" t="inlineStr">
        <is>
          <t>Not Recommended</t>
        </is>
      </c>
      <c r="O68" s="8" t="n">
        <v>18</v>
      </c>
      <c r="P68" s="30" t="inlineStr">
        <is>
          <t>Negative alpha (-3.51%). ER spread (0.85%) NOT justified.</t>
        </is>
      </c>
    </row>
    <row r="69" ht="45" customHeight="1">
      <c r="A69" s="14" t="n">
        <v>65</v>
      </c>
      <c r="B69" s="16" t="inlineStr">
        <is>
          <t>Union Flexi Cap Fund</t>
        </is>
      </c>
      <c r="C69" s="14" t="inlineStr">
        <is>
          <t>Flexi Cap</t>
        </is>
      </c>
      <c r="D69" s="14" t="n">
        <v>31.4</v>
      </c>
      <c r="E69" s="20" t="inlineStr">
        <is>
          <t>Avoid</t>
        </is>
      </c>
      <c r="F69" s="14" t="n">
        <v>1.09</v>
      </c>
      <c r="G69" s="28" t="inlineStr">
        <is>
          <t>No</t>
        </is>
      </c>
      <c r="H69" s="16" t="inlineStr">
        <is>
          <t>Sanjay Bembalkar; Vinod Malviya</t>
        </is>
      </c>
      <c r="I69" s="14" t="inlineStr">
        <is>
          <t>M</t>
        </is>
      </c>
      <c r="J69" s="14" t="inlineStr">
        <is>
          <t>No — AUM Manageable</t>
        </is>
      </c>
      <c r="K69" s="14" t="inlineStr">
        <is>
          <t>Low</t>
        </is>
      </c>
      <c r="L69" s="16" t="inlineStr">
        <is>
          <t>Not Recommended</t>
        </is>
      </c>
      <c r="M69" s="35" t="inlineStr"/>
      <c r="N69" s="14" t="inlineStr">
        <is>
          <t>Not Recommended</t>
        </is>
      </c>
      <c r="O69" s="14" t="n">
        <v>24</v>
      </c>
      <c r="P69" s="29" t="inlineStr">
        <is>
          <t>Negative alpha (-6.69%). ER spread (1.09%) NOT justified.</t>
        </is>
      </c>
    </row>
    <row r="70" ht="45" customHeight="1">
      <c r="A70" s="8" t="n">
        <v>66</v>
      </c>
      <c r="B70" s="11" t="inlineStr">
        <is>
          <t>LIC MF Small Cap Fund</t>
        </is>
      </c>
      <c r="C70" s="8" t="inlineStr">
        <is>
          <t>Small Cap</t>
        </is>
      </c>
      <c r="D70" s="8" t="n">
        <v>29.6</v>
      </c>
      <c r="E70" s="20" t="inlineStr">
        <is>
          <t>Avoid</t>
        </is>
      </c>
      <c r="F70" s="8" t="n">
        <v>1.36</v>
      </c>
      <c r="G70" s="28" t="inlineStr">
        <is>
          <t>No</t>
        </is>
      </c>
      <c r="H70" s="11" t="inlineStr">
        <is>
          <t>Dikshit Mittal; Yogesh Patil</t>
        </is>
      </c>
      <c r="I70" s="8" t="inlineStr">
        <is>
          <t>M</t>
        </is>
      </c>
      <c r="J70" s="8" t="inlineStr">
        <is>
          <t>No — AUM Manageable</t>
        </is>
      </c>
      <c r="K70" s="8" t="inlineStr">
        <is>
          <t>Low</t>
        </is>
      </c>
      <c r="L70" s="11" t="inlineStr">
        <is>
          <t>Not Recommended</t>
        </is>
      </c>
      <c r="M70" s="5" t="inlineStr"/>
      <c r="N70" s="8" t="inlineStr">
        <is>
          <t>Not Recommended</t>
        </is>
      </c>
      <c r="O70" s="8" t="n">
        <v>12</v>
      </c>
      <c r="P70" s="30" t="inlineStr">
        <is>
          <t>Negative alpha (-4.65%). ER spread (1.36%) NOT justified.</t>
        </is>
      </c>
    </row>
    <row r="71" ht="45" customHeight="1">
      <c r="A71" s="14" t="n">
        <v>67</v>
      </c>
      <c r="B71" s="16" t="inlineStr">
        <is>
          <t>PGIM India Small Cap Fund</t>
        </is>
      </c>
      <c r="C71" s="14" t="inlineStr">
        <is>
          <t>Small Cap</t>
        </is>
      </c>
      <c r="D71" s="14" t="n">
        <v>28.7</v>
      </c>
      <c r="E71" s="20" t="inlineStr">
        <is>
          <t>Avoid</t>
        </is>
      </c>
      <c r="F71" s="14" t="n">
        <v>1.5</v>
      </c>
      <c r="G71" s="28" t="inlineStr">
        <is>
          <t>No</t>
        </is>
      </c>
      <c r="H71" s="16" t="inlineStr">
        <is>
          <t>Utsav Mehta; Sharma Vivek</t>
        </is>
      </c>
      <c r="I71" s="14" t="inlineStr">
        <is>
          <t>M</t>
        </is>
      </c>
      <c r="J71" s="14" t="inlineStr">
        <is>
          <t>No — AUM Manageable</t>
        </is>
      </c>
      <c r="K71" s="14" t="inlineStr">
        <is>
          <t>Low</t>
        </is>
      </c>
      <c r="L71" s="16" t="inlineStr">
        <is>
          <t>Not Recommended</t>
        </is>
      </c>
      <c r="M71" s="35" t="inlineStr"/>
      <c r="N71" s="14" t="inlineStr">
        <is>
          <t>Not Recommended</t>
        </is>
      </c>
      <c r="O71" s="14" t="n">
        <v>13</v>
      </c>
      <c r="P71" s="29" t="inlineStr">
        <is>
          <t>Negative alpha (-7.10%). strong downside protection (DC 76). ER spread (1.50%) NOT justified.</t>
        </is>
      </c>
    </row>
    <row r="72" ht="45" customHeight="1">
      <c r="A72" s="8" t="n">
        <v>68</v>
      </c>
      <c r="B72" s="11" t="inlineStr">
        <is>
          <t>Sundaram Large Cap Fund</t>
        </is>
      </c>
      <c r="C72" s="8" t="inlineStr">
        <is>
          <t>Large Cap</t>
        </is>
      </c>
      <c r="D72" s="8" t="n">
        <v>27</v>
      </c>
      <c r="E72" s="20" t="inlineStr">
        <is>
          <t>Avoid</t>
        </is>
      </c>
      <c r="F72" s="8" t="n">
        <v>1.26</v>
      </c>
      <c r="G72" s="28" t="inlineStr">
        <is>
          <t>No</t>
        </is>
      </c>
      <c r="H72" s="11" t="inlineStr">
        <is>
          <t>Ashwin Jain</t>
        </is>
      </c>
      <c r="I72" s="8" t="inlineStr">
        <is>
          <t>H</t>
        </is>
      </c>
      <c r="J72" s="8" t="inlineStr">
        <is>
          <t>No — AUM Manageable</t>
        </is>
      </c>
      <c r="K72" s="8" t="inlineStr">
        <is>
          <t>Low</t>
        </is>
      </c>
      <c r="L72" s="11" t="inlineStr">
        <is>
          <t>Not Recommended</t>
        </is>
      </c>
      <c r="M72" s="5" t="inlineStr"/>
      <c r="N72" s="8" t="inlineStr">
        <is>
          <t>Not Recommended</t>
        </is>
      </c>
      <c r="O72" s="8" t="n">
        <v>13</v>
      </c>
      <c r="P72" s="30" t="inlineStr">
        <is>
          <t>Negative alpha (-2.12%). ER spread (1.26%) NOT justified.</t>
        </is>
      </c>
    </row>
    <row r="73" ht="45" customHeight="1">
      <c r="A73" s="14" t="n">
        <v>69</v>
      </c>
      <c r="B73" s="16" t="inlineStr">
        <is>
          <t>PGIM India Flexi Cap Fund</t>
        </is>
      </c>
      <c r="C73" s="14" t="inlineStr">
        <is>
          <t>Flexi Cap</t>
        </is>
      </c>
      <c r="D73" s="14" t="n">
        <v>25.7</v>
      </c>
      <c r="E73" s="20" t="inlineStr">
        <is>
          <t>Avoid</t>
        </is>
      </c>
      <c r="F73" s="14" t="n">
        <v>1.3</v>
      </c>
      <c r="G73" s="28" t="inlineStr">
        <is>
          <t>No</t>
        </is>
      </c>
      <c r="H73" s="16" t="inlineStr">
        <is>
          <t>Anandha Padmanabhan Anjeneyan; Sharma Vivek</t>
        </is>
      </c>
      <c r="I73" s="14" t="inlineStr">
        <is>
          <t>M</t>
        </is>
      </c>
      <c r="J73" s="14" t="inlineStr">
        <is>
          <t>No — AUM Manageable</t>
        </is>
      </c>
      <c r="K73" s="14" t="inlineStr">
        <is>
          <t>Low</t>
        </is>
      </c>
      <c r="L73" s="16" t="inlineStr">
        <is>
          <t>Not Recommended</t>
        </is>
      </c>
      <c r="M73" s="35" t="inlineStr"/>
      <c r="N73" s="14" t="inlineStr">
        <is>
          <t>Not Recommended</t>
        </is>
      </c>
      <c r="O73" s="14" t="n">
        <v>25</v>
      </c>
      <c r="P73" s="29" t="inlineStr">
        <is>
          <t>Negative alpha (-4.07%). ER spread (1.30%) NOT justified.</t>
        </is>
      </c>
    </row>
    <row r="74" ht="45" customHeight="1">
      <c r="A74" s="8" t="n">
        <v>70</v>
      </c>
      <c r="B74" s="11" t="inlineStr">
        <is>
          <t>Bandhan Midcap Fund</t>
        </is>
      </c>
      <c r="C74" s="8" t="inlineStr">
        <is>
          <t>Mid Cap</t>
        </is>
      </c>
      <c r="D74" s="8" t="n">
        <v>25.4</v>
      </c>
      <c r="E74" s="20" t="inlineStr">
        <is>
          <t>Avoid</t>
        </is>
      </c>
      <c r="F74" s="8" t="n">
        <v>1.4</v>
      </c>
      <c r="G74" s="28" t="inlineStr">
        <is>
          <t>No</t>
        </is>
      </c>
      <c r="H74" s="11" t="inlineStr">
        <is>
          <t>Ritu Modi; Harshal Joshi</t>
        </is>
      </c>
      <c r="I74" s="8" t="inlineStr">
        <is>
          <t>M</t>
        </is>
      </c>
      <c r="J74" s="8" t="inlineStr">
        <is>
          <t>No — AUM Manageable</t>
        </is>
      </c>
      <c r="K74" s="8" t="inlineStr">
        <is>
          <t>Medium</t>
        </is>
      </c>
      <c r="L74" s="11" t="inlineStr">
        <is>
          <t>Not Recommended</t>
        </is>
      </c>
      <c r="M74" s="5" t="inlineStr"/>
      <c r="N74" s="8" t="inlineStr">
        <is>
          <t>Not Recommended</t>
        </is>
      </c>
      <c r="O74" s="8" t="n">
        <v>19</v>
      </c>
      <c r="P74" s="30" t="inlineStr">
        <is>
          <t>Negative alpha (-8.75%). amplifies drawdowns (DC 114). ER spread (1.40%) NOT justified.</t>
        </is>
      </c>
    </row>
    <row r="75" ht="45" customHeight="1">
      <c r="A75" s="14" t="n">
        <v>71</v>
      </c>
      <c r="B75" s="16" t="inlineStr">
        <is>
          <t>Aditya Birla SL Small Cap Fund</t>
        </is>
      </c>
      <c r="C75" s="14" t="inlineStr">
        <is>
          <t>Small Cap</t>
        </is>
      </c>
      <c r="D75" s="14" t="n">
        <v>24.8</v>
      </c>
      <c r="E75" s="20" t="inlineStr">
        <is>
          <t>Avoid</t>
        </is>
      </c>
      <c r="F75" s="14" t="n">
        <v>0.99</v>
      </c>
      <c r="G75" s="28" t="inlineStr">
        <is>
          <t>No</t>
        </is>
      </c>
      <c r="H75" s="16" t="inlineStr">
        <is>
          <t>Abhinav Khandelwal; Dhaval Joshi</t>
        </is>
      </c>
      <c r="I75" s="14" t="inlineStr">
        <is>
          <t>M</t>
        </is>
      </c>
      <c r="J75" s="14" t="inlineStr">
        <is>
          <t>No — AUM Manageable</t>
        </is>
      </c>
      <c r="K75" s="14" t="inlineStr">
        <is>
          <t>Medium</t>
        </is>
      </c>
      <c r="L75" s="16" t="inlineStr">
        <is>
          <t>Not Recommended</t>
        </is>
      </c>
      <c r="M75" s="35" t="inlineStr"/>
      <c r="N75" s="14" t="inlineStr">
        <is>
          <t>Not Recommended</t>
        </is>
      </c>
      <c r="O75" s="14" t="n">
        <v>14</v>
      </c>
      <c r="P75" s="29" t="inlineStr">
        <is>
          <t>Negative alpha (-9.75%). amplifies drawdowns (DC 133). ER spread (0.99%) NOT justified.</t>
        </is>
      </c>
    </row>
    <row r="76" ht="45" customHeight="1">
      <c r="A76" s="8" t="n">
        <v>72</v>
      </c>
      <c r="B76" s="11" t="inlineStr">
        <is>
          <t>Axis Large Cap Fund</t>
        </is>
      </c>
      <c r="C76" s="8" t="inlineStr">
        <is>
          <t>Large Cap</t>
        </is>
      </c>
      <c r="D76" s="8" t="n">
        <v>23.2</v>
      </c>
      <c r="E76" s="20" t="inlineStr">
        <is>
          <t>Avoid</t>
        </is>
      </c>
      <c r="F76" s="8" t="n">
        <v>0.86</v>
      </c>
      <c r="G76" s="28" t="inlineStr">
        <is>
          <t>No</t>
        </is>
      </c>
      <c r="H76" s="11" t="inlineStr">
        <is>
          <t>Shreyash Devalkar; Jayesh Sundar</t>
        </is>
      </c>
      <c r="I76" s="8" t="inlineStr">
        <is>
          <t>M</t>
        </is>
      </c>
      <c r="J76" s="8" t="inlineStr">
        <is>
          <t>No — AUM Manageable</t>
        </is>
      </c>
      <c r="K76" s="8" t="inlineStr">
        <is>
          <t>Medium</t>
        </is>
      </c>
      <c r="L76" s="11" t="inlineStr">
        <is>
          <t>Not Recommended</t>
        </is>
      </c>
      <c r="M76" s="5" t="inlineStr"/>
      <c r="N76" s="8" t="inlineStr">
        <is>
          <t>Not Recommended</t>
        </is>
      </c>
      <c r="O76" s="8" t="n">
        <v>14</v>
      </c>
      <c r="P76" s="30" t="inlineStr">
        <is>
          <t>Negative alpha (-1.03%). ER spread (0.86%) NOT justified.</t>
        </is>
      </c>
    </row>
    <row r="77" ht="45" customHeight="1">
      <c r="A77" s="14" t="n">
        <v>73</v>
      </c>
      <c r="B77" s="16" t="inlineStr">
        <is>
          <t>UTI Mid Cap Fund-Reg(IDCW)</t>
        </is>
      </c>
      <c r="C77" s="14" t="inlineStr">
        <is>
          <t>Mid Cap</t>
        </is>
      </c>
      <c r="D77" s="14" t="n">
        <v>20.6</v>
      </c>
      <c r="E77" s="20" t="inlineStr">
        <is>
          <t>Avoid</t>
        </is>
      </c>
      <c r="F77" s="14" t="n">
        <v>0.84</v>
      </c>
      <c r="G77" s="28" t="inlineStr">
        <is>
          <t>No</t>
        </is>
      </c>
      <c r="H77" s="16" t="inlineStr">
        <is>
          <t>Vishal Chopda</t>
        </is>
      </c>
      <c r="I77" s="14" t="inlineStr">
        <is>
          <t>H</t>
        </is>
      </c>
      <c r="J77" s="14" t="inlineStr">
        <is>
          <t>Monitor</t>
        </is>
      </c>
      <c r="K77" s="14" t="inlineStr">
        <is>
          <t>Low</t>
        </is>
      </c>
      <c r="L77" s="16" t="inlineStr">
        <is>
          <t>Not Recommended</t>
        </is>
      </c>
      <c r="M77" s="35" t="inlineStr"/>
      <c r="N77" s="14" t="inlineStr">
        <is>
          <t>Not Recommended</t>
        </is>
      </c>
      <c r="O77" s="14" t="n">
        <v>20</v>
      </c>
      <c r="P77" s="29" t="inlineStr">
        <is>
          <t>Negative alpha (-6.18%). ER spread (0.84%) NOT justified.</t>
        </is>
      </c>
    </row>
    <row r="78" ht="45" customHeight="1">
      <c r="A78" s="8" t="n">
        <v>74</v>
      </c>
      <c r="B78" s="11" t="inlineStr">
        <is>
          <t>Mirae Asset Large Cap Fund</t>
        </is>
      </c>
      <c r="C78" s="8" t="inlineStr">
        <is>
          <t>Large Cap</t>
        </is>
      </c>
      <c r="D78" s="8" t="n">
        <v>20.4</v>
      </c>
      <c r="E78" s="20" t="inlineStr">
        <is>
          <t>Avoid</t>
        </is>
      </c>
      <c r="F78" s="8" t="n">
        <v>0.97</v>
      </c>
      <c r="G78" s="28" t="inlineStr">
        <is>
          <t>No</t>
        </is>
      </c>
      <c r="H78" s="11" t="inlineStr">
        <is>
          <t>Gaurav Misra</t>
        </is>
      </c>
      <c r="I78" s="8" t="inlineStr">
        <is>
          <t>H</t>
        </is>
      </c>
      <c r="J78" s="8" t="inlineStr">
        <is>
          <t>Yes — Capacity Concern</t>
        </is>
      </c>
      <c r="K78" s="8" t="inlineStr">
        <is>
          <t>Low</t>
        </is>
      </c>
      <c r="L78" s="11" t="inlineStr">
        <is>
          <t>Not Recommended</t>
        </is>
      </c>
      <c r="M78" s="5" t="inlineStr"/>
      <c r="N78" s="8" t="inlineStr">
        <is>
          <t>Not Recommended</t>
        </is>
      </c>
      <c r="O78" s="8" t="n">
        <v>15</v>
      </c>
      <c r="P78" s="30" t="inlineStr">
        <is>
          <t>Negative alpha (-2.03%). ER spread (0.97%) NOT justified.</t>
        </is>
      </c>
    </row>
    <row r="79" ht="45" customHeight="1">
      <c r="A79" s="14" t="n">
        <v>75</v>
      </c>
      <c r="B79" s="16" t="inlineStr">
        <is>
          <t>LIC MF Flexi Cap Fund</t>
        </is>
      </c>
      <c r="C79" s="14" t="inlineStr">
        <is>
          <t>Flexi Cap</t>
        </is>
      </c>
      <c r="D79" s="14" t="n">
        <v>18.4</v>
      </c>
      <c r="E79" s="20" t="inlineStr">
        <is>
          <t>Avoid</t>
        </is>
      </c>
      <c r="F79" s="14" t="n">
        <v>0.73</v>
      </c>
      <c r="G79" s="28" t="inlineStr">
        <is>
          <t>No</t>
        </is>
      </c>
      <c r="H79" s="16" t="inlineStr">
        <is>
          <t>Karan Doshi; Jaiprakash Toshniwal</t>
        </is>
      </c>
      <c r="I79" s="14" t="inlineStr">
        <is>
          <t>M</t>
        </is>
      </c>
      <c r="J79" s="14" t="inlineStr">
        <is>
          <t>No — AUM Manageable</t>
        </is>
      </c>
      <c r="K79" s="14" t="inlineStr">
        <is>
          <t>Medium</t>
        </is>
      </c>
      <c r="L79" s="16" t="inlineStr">
        <is>
          <t>Not Recommended</t>
        </is>
      </c>
      <c r="M79" s="35" t="inlineStr"/>
      <c r="N79" s="14" t="inlineStr">
        <is>
          <t>Not Recommended</t>
        </is>
      </c>
      <c r="O79" s="14" t="n">
        <v>26</v>
      </c>
      <c r="P79" s="29" t="inlineStr">
        <is>
          <t>Negative alpha (-2.23%). amplifies drawdowns (DC 119). ER spread (0.73%) NOT justified.</t>
        </is>
      </c>
    </row>
    <row r="80" ht="45" customHeight="1">
      <c r="A80" s="8" t="n">
        <v>76</v>
      </c>
      <c r="B80" s="11" t="inlineStr">
        <is>
          <t>UTI Flexi Cap Fund-Reg(IDCW)</t>
        </is>
      </c>
      <c r="C80" s="8" t="inlineStr">
        <is>
          <t>Flexi Cap</t>
        </is>
      </c>
      <c r="D80" s="8" t="n">
        <v>16.5</v>
      </c>
      <c r="E80" s="20" t="inlineStr">
        <is>
          <t>Avoid</t>
        </is>
      </c>
      <c r="F80" s="8" t="n">
        <v>0.63</v>
      </c>
      <c r="G80" s="28" t="inlineStr">
        <is>
          <t>No</t>
        </is>
      </c>
      <c r="H80" s="11" t="inlineStr">
        <is>
          <t>Ajay Tyagi; Akash Shah</t>
        </is>
      </c>
      <c r="I80" s="8" t="inlineStr">
        <is>
          <t>M</t>
        </is>
      </c>
      <c r="J80" s="8" t="inlineStr">
        <is>
          <t>No — AUM Manageable</t>
        </is>
      </c>
      <c r="K80" s="8" t="inlineStr">
        <is>
          <t>Low</t>
        </is>
      </c>
      <c r="L80" s="11" t="inlineStr">
        <is>
          <t>Not Recommended</t>
        </is>
      </c>
      <c r="M80" s="5" t="inlineStr"/>
      <c r="N80" s="8" t="inlineStr">
        <is>
          <t>Not Recommended</t>
        </is>
      </c>
      <c r="O80" s="8" t="n">
        <v>27</v>
      </c>
      <c r="P80" s="30" t="inlineStr">
        <is>
          <t>Negative alpha (-6.57%). ER spread (0.63%) NOT justified.</t>
        </is>
      </c>
    </row>
    <row r="81" ht="45" customHeight="1">
      <c r="A81" s="14" t="n">
        <v>77</v>
      </c>
      <c r="B81" s="16" t="inlineStr">
        <is>
          <t>PGIM India Midcap Fund</t>
        </is>
      </c>
      <c r="C81" s="14" t="inlineStr">
        <is>
          <t>Mid Cap</t>
        </is>
      </c>
      <c r="D81" s="14" t="n">
        <v>16.3</v>
      </c>
      <c r="E81" s="20" t="inlineStr">
        <is>
          <t>Avoid</t>
        </is>
      </c>
      <c r="F81" s="14" t="n">
        <v>1.2</v>
      </c>
      <c r="G81" s="28" t="inlineStr">
        <is>
          <t>No</t>
        </is>
      </c>
      <c r="H81" s="16" t="inlineStr">
        <is>
          <t>Sharma Vivek; Utsav Mehta</t>
        </is>
      </c>
      <c r="I81" s="14" t="inlineStr">
        <is>
          <t>M</t>
        </is>
      </c>
      <c r="J81" s="14" t="inlineStr">
        <is>
          <t>Monitor</t>
        </is>
      </c>
      <c r="K81" s="14" t="inlineStr">
        <is>
          <t>Low</t>
        </is>
      </c>
      <c r="L81" s="16" t="inlineStr">
        <is>
          <t>Not Recommended</t>
        </is>
      </c>
      <c r="M81" s="35" t="inlineStr"/>
      <c r="N81" s="14" t="inlineStr">
        <is>
          <t>Not Recommended</t>
        </is>
      </c>
      <c r="O81" s="14" t="n">
        <v>21</v>
      </c>
      <c r="P81" s="29" t="inlineStr">
        <is>
          <t>Negative alpha (-10.41%). ER spread (1.20%) NOT justified.</t>
        </is>
      </c>
    </row>
    <row r="82" ht="45" customHeight="1">
      <c r="A82" s="8" t="n">
        <v>78</v>
      </c>
      <c r="B82" s="11" t="inlineStr">
        <is>
          <t>UTI Large Cap Fund-Reg(IDCW)</t>
        </is>
      </c>
      <c r="C82" s="8" t="inlineStr">
        <is>
          <t>Large Cap</t>
        </is>
      </c>
      <c r="D82" s="8" t="n">
        <v>15.8</v>
      </c>
      <c r="E82" s="20" t="inlineStr">
        <is>
          <t>Avoid</t>
        </is>
      </c>
      <c r="F82" s="8" t="n">
        <v>0.83</v>
      </c>
      <c r="G82" s="28" t="inlineStr">
        <is>
          <t>No</t>
        </is>
      </c>
      <c r="H82" s="11" t="inlineStr">
        <is>
          <t>Karthikraj Lakshmanan</t>
        </is>
      </c>
      <c r="I82" s="8" t="inlineStr">
        <is>
          <t>H</t>
        </is>
      </c>
      <c r="J82" s="8" t="inlineStr">
        <is>
          <t>No — AUM Manageable</t>
        </is>
      </c>
      <c r="K82" s="8" t="inlineStr">
        <is>
          <t>Low</t>
        </is>
      </c>
      <c r="L82" s="11" t="inlineStr">
        <is>
          <t>Not Recommended</t>
        </is>
      </c>
      <c r="M82" s="5" t="inlineStr"/>
      <c r="N82" s="8" t="inlineStr">
        <is>
          <t>Not Recommended</t>
        </is>
      </c>
      <c r="O82" s="8" t="n">
        <v>16</v>
      </c>
      <c r="P82" s="30" t="inlineStr">
        <is>
          <t>Negative alpha (-8.43%). ER spread (0.83%) NOT justified.</t>
        </is>
      </c>
    </row>
    <row r="83" ht="45" customHeight="1">
      <c r="A83" s="14" t="n">
        <v>79</v>
      </c>
      <c r="B83" s="16" t="inlineStr">
        <is>
          <t>Quant Mid Cap Fund</t>
        </is>
      </c>
      <c r="C83" s="14" t="inlineStr">
        <is>
          <t>Mid Cap</t>
        </is>
      </c>
      <c r="D83" s="14" t="n">
        <v>15.7</v>
      </c>
      <c r="E83" s="20" t="inlineStr">
        <is>
          <t>Avoid</t>
        </is>
      </c>
      <c r="F83" s="14" t="n">
        <v>1</v>
      </c>
      <c r="G83" s="28" t="inlineStr">
        <is>
          <t>No</t>
        </is>
      </c>
      <c r="H83" s="16" t="inlineStr">
        <is>
          <t>Sandeep Tandon; Ankit Pande</t>
        </is>
      </c>
      <c r="I83" s="14" t="inlineStr">
        <is>
          <t>M</t>
        </is>
      </c>
      <c r="J83" s="14" t="inlineStr">
        <is>
          <t>No — AUM Manageable</t>
        </is>
      </c>
      <c r="K83" s="14" t="inlineStr">
        <is>
          <t>High</t>
        </is>
      </c>
      <c r="L83" s="16" t="inlineStr">
        <is>
          <t>Not Recommended</t>
        </is>
      </c>
      <c r="M83" s="35" t="inlineStr"/>
      <c r="N83" s="14" t="inlineStr">
        <is>
          <t>Not Recommended</t>
        </is>
      </c>
      <c r="O83" s="14" t="n">
        <v>22</v>
      </c>
      <c r="P83" s="29" t="inlineStr">
        <is>
          <t>Negative alpha (-6.67%). amplifies drawdowns (DC 105). ER spread (1.00%) NOT justified.</t>
        </is>
      </c>
    </row>
    <row r="84" ht="45" customHeight="1">
      <c r="A84" s="8" t="n">
        <v>80</v>
      </c>
      <c r="B84" s="11" t="inlineStr">
        <is>
          <t>Tata Small Cap Fund</t>
        </is>
      </c>
      <c r="C84" s="8" t="inlineStr">
        <is>
          <t>Small Cap</t>
        </is>
      </c>
      <c r="D84" s="8" t="n">
        <v>14.7</v>
      </c>
      <c r="E84" s="20" t="inlineStr">
        <is>
          <t>Avoid</t>
        </is>
      </c>
      <c r="F84" s="8" t="n">
        <v>1.28</v>
      </c>
      <c r="G84" s="28" t="inlineStr">
        <is>
          <t>No</t>
        </is>
      </c>
      <c r="H84" s="11" t="inlineStr">
        <is>
          <t>Chandraprakash Padiyar; Jeetendra Khatri</t>
        </is>
      </c>
      <c r="I84" s="8" t="inlineStr">
        <is>
          <t>M</t>
        </is>
      </c>
      <c r="J84" s="8" t="inlineStr">
        <is>
          <t>Monitor</t>
        </is>
      </c>
      <c r="K84" s="8" t="inlineStr">
        <is>
          <t>Low</t>
        </is>
      </c>
      <c r="L84" s="11" t="inlineStr">
        <is>
          <t>Not Recommended</t>
        </is>
      </c>
      <c r="M84" s="5" t="inlineStr"/>
      <c r="N84" s="8" t="inlineStr">
        <is>
          <t>Not Recommended</t>
        </is>
      </c>
      <c r="O84" s="8" t="n">
        <v>15</v>
      </c>
      <c r="P84" s="30" t="inlineStr">
        <is>
          <t>Negative alpha (-9.52%). ER spread (1.28%) NOT justified.</t>
        </is>
      </c>
    </row>
  </sheetData>
  <autoFilter ref="A4:P84"/>
  <mergeCells count="3">
    <mergeCell ref="A2:L2"/>
    <mergeCell ref="A1:L1"/>
    <mergeCell ref="A3:P3"/>
  </mergeCells>
  <dataValidations count="6">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showDropDown="0" showInputMessage="0" showErrorMessage="0" allowBlank="1" prompt="H=High, M=Medium, L=Low key-person risk" type="list">
      <formula1>"H,M,L"</formula1>
    </dataValidation>
    <dataValidation sqref="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showDropDown="0" showInputMessage="0" showErrorMessage="0" allowBlank="1" type="list">
      <formula1>"Yes — Capacity Concern,No — AUM Manageable,Monitor"</formula1>
    </dataValidation>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showDropDown="0" showInputMessage="0" showErrorMessage="0" allowBlank="1" type="list">
      <formula1>"Low,Medium,High"</formula1>
    </dataValidation>
    <dataValidation sqref="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showDropDown="0" showInputMessage="0" showErrorMessage="0" allowBlank="1" type="list">
      <formula1>"Conservative Core,Moderate Core,Aggressive Satellite,Not Recommended"</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showDropDown="0" showInputMessage="0" showErrorMessage="0" allowBlank="1" type="list">
      <formula1>"Yes,Marginal,No"</formula1>
    </dataValidation>
    <dataValidation sqref="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showDropDown="0" showInputMessage="0" showErrorMessage="0" allowBlank="1" type="list">
      <formula1>"Core Holding,Satellite Allocation,Watchlist,Not Recommended"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37474F"/>
    <outlinePr summaryBelow="1" summaryRight="1"/>
    <pageSetUpPr/>
  </sheetPr>
  <dimension ref="A1:H32"/>
  <sheetViews>
    <sheetView workbookViewId="0">
      <selection activeCell="A1" sqref="A1"/>
    </sheetView>
  </sheetViews>
  <sheetFormatPr baseColWidth="8" defaultRowHeight="15"/>
  <cols>
    <col width="100" customWidth="1" min="1" max="1"/>
  </cols>
  <sheetData>
    <row r="1" ht="30" customHeight="1">
      <c r="A1" s="22" t="inlineStr">
        <is>
          <t>METHODOLOGY &amp; DOCUMENTATION</t>
        </is>
      </c>
    </row>
    <row r="3" ht="30" customHeight="1">
      <c r="A3" s="3" t="inlineStr">
        <is>
          <t>OVERVIEW</t>
        </is>
      </c>
      <c r="B3" s="31" t="n"/>
      <c r="C3" s="31" t="n"/>
      <c r="D3" s="31" t="n"/>
      <c r="E3" s="31" t="n"/>
      <c r="F3" s="31" t="n"/>
      <c r="G3" s="31" t="n"/>
      <c r="H3" s="32" t="n"/>
    </row>
    <row r="4" ht="25" customHeight="1">
      <c r="A4" s="21" t="inlineStr">
        <is>
          <t>3-layer framework: (1) Pass/Fail Gates  (2) 5-Factor Quantitative Scoring  (3) Qualitative Analyst Overlay.</t>
        </is>
      </c>
    </row>
    <row r="5" ht="25" customHeight="1">
      <c r="A5" s="21" t="inlineStr">
        <is>
          <t>Evaluates active equity mutual funds across 4 SEBI categories. Within-category percentile ranking.</t>
        </is>
      </c>
    </row>
    <row r="7" ht="30" customHeight="1">
      <c r="A7" s="3" t="inlineStr">
        <is>
          <t>DATA SOURCE</t>
        </is>
      </c>
      <c r="B7" s="31" t="n"/>
      <c r="C7" s="31" t="n"/>
      <c r="D7" s="31" t="n"/>
      <c r="E7" s="31" t="n"/>
      <c r="F7" s="31" t="n"/>
      <c r="G7" s="31" t="n"/>
      <c r="H7" s="32" t="n"/>
    </row>
    <row r="8" ht="25" customHeight="1">
      <c r="A8" s="21" t="inlineStr">
        <is>
          <t>ACE MF (Accord Fintech) institutional terminal. Regular plans only. Data as of March 2026.</t>
        </is>
      </c>
    </row>
    <row r="10" ht="30" customHeight="1">
      <c r="A10" s="3" t="inlineStr">
        <is>
          <t>PASS/FAIL GATES</t>
        </is>
      </c>
      <c r="B10" s="31" t="n"/>
      <c r="C10" s="31" t="n"/>
      <c r="D10" s="31" t="n"/>
      <c r="E10" s="31" t="n"/>
      <c r="F10" s="31" t="n"/>
      <c r="G10" s="31" t="n"/>
      <c r="H10" s="32" t="n"/>
    </row>
    <row r="11" ht="25" customHeight="1">
      <c r="A11" s="21" t="inlineStr">
        <is>
          <t>AUM: Large Cap 2K-50K Cr | Flexi Cap 1K-25K Cr | Mid Cap 1K-20K Cr | Small Cap 500-15K Cr.</t>
        </is>
      </c>
    </row>
    <row r="12" ht="25" customHeight="1">
      <c r="A12" s="21" t="inlineStr">
        <is>
          <t>Track record: Large Cap 5Y minimum, all others 3Y. All scoring fields must be non-null.</t>
        </is>
      </c>
    </row>
    <row r="14" ht="30" customHeight="1">
      <c r="A14" s="3" t="inlineStr">
        <is>
          <t>5-FACTOR SCORING</t>
        </is>
      </c>
      <c r="B14" s="31" t="n"/>
      <c r="C14" s="31" t="n"/>
      <c r="D14" s="31" t="n"/>
      <c r="E14" s="31" t="n"/>
      <c r="F14" s="31" t="n"/>
      <c r="G14" s="31" t="n"/>
      <c r="H14" s="32" t="n"/>
    </row>
    <row r="15" ht="25" customHeight="1">
      <c r="A15" s="21" t="inlineStr">
        <is>
          <t>1. Alpha Generation (25%): 50% x 3Y Alpha + 30% x 5Y Alpha + 20% x Rolling Alpha Consistency.</t>
        </is>
      </c>
    </row>
    <row r="16" ht="25" customHeight="1">
      <c r="A16" s="21" t="inlineStr">
        <is>
          <t>2. Risk-Adjusted Returns (25%): 40% x Sharpe + 40% x Sortino + 20% x Information Ratio.</t>
        </is>
      </c>
    </row>
    <row r="17" ht="25" customHeight="1">
      <c r="A17" s="21" t="inlineStr">
        <is>
          <t>3. Return Consistency (25%): 50% x Capture Spread (Up-Down) + 50% x Rolling Return Consistency.</t>
        </is>
      </c>
    </row>
    <row r="18" ht="25" customHeight="1">
      <c r="A18" s="21" t="inlineStr">
        <is>
          <t>4. Downside Protection (20%): 100% x Down Capture Ratio (inverted: lower = better).</t>
        </is>
      </c>
    </row>
    <row r="19" ht="25" customHeight="1">
      <c r="A19" s="21" t="inlineStr">
        <is>
          <t>5. Cost Efficiency (5%): Expense ratio (lower = better). Intentionally low weight.</t>
        </is>
      </c>
    </row>
    <row r="21" ht="30" customHeight="1">
      <c r="A21" s="3" t="inlineStr">
        <is>
          <t>RATINGS</t>
        </is>
      </c>
      <c r="B21" s="31" t="n"/>
      <c r="C21" s="31" t="n"/>
      <c r="D21" s="31" t="n"/>
      <c r="E21" s="31" t="n"/>
      <c r="F21" s="31" t="n"/>
      <c r="G21" s="31" t="n"/>
      <c r="H21" s="32" t="n"/>
    </row>
    <row r="22" ht="25" customHeight="1">
      <c r="A22" s="21" t="inlineStr">
        <is>
          <t>Strong Buy: &gt;= P80 | Buy: P60-P80 | Hold: P40-P60 | Underweight: P20-P40 | Avoid: &lt; P20.</t>
        </is>
      </c>
    </row>
    <row r="24" ht="30" customHeight="1">
      <c r="A24" s="3" t="inlineStr">
        <is>
          <t>BENCHMARKS</t>
        </is>
      </c>
      <c r="B24" s="31" t="n"/>
      <c r="C24" s="31" t="n"/>
      <c r="D24" s="31" t="n"/>
      <c r="E24" s="31" t="n"/>
      <c r="F24" s="31" t="n"/>
      <c r="G24" s="31" t="n"/>
      <c r="H24" s="32" t="n"/>
    </row>
    <row r="25" ht="25" customHeight="1">
      <c r="A25" s="21" t="inlineStr">
        <is>
          <t>Large Cap: NIFTY 100 TRI | Flexi Cap: NIFTY 500 TRI | Mid Cap: Nifty Midcap 150 TRI | Small Cap: Nifty Smallcap 250 TRI.</t>
        </is>
      </c>
    </row>
    <row r="27" ht="30" customHeight="1">
      <c r="A27" s="3" t="inlineStr">
        <is>
          <t>LIMITATIONS</t>
        </is>
      </c>
      <c r="B27" s="31" t="n"/>
      <c r="C27" s="31" t="n"/>
      <c r="D27" s="31" t="n"/>
      <c r="E27" s="31" t="n"/>
      <c r="F27" s="31" t="n"/>
      <c r="G27" s="31" t="n"/>
      <c r="H27" s="32" t="n"/>
    </row>
    <row r="28" ht="25" customHeight="1">
      <c r="A28" s="21" t="inlineStr">
        <is>
          <t>1. No max drawdown. 2. FM tenure 100% null. 3. Rolling returns are summaries. 4. AUM gates exclude some large funds by design. 5. Regular plan commission drag. 6. ~19% missing 5Y data.</t>
        </is>
      </c>
    </row>
    <row r="30" ht="30" customHeight="1">
      <c r="A30" s="3" t="inlineStr">
        <is>
          <t>AUTHOR</t>
        </is>
      </c>
      <c r="B30" s="31" t="n"/>
      <c r="C30" s="31" t="n"/>
      <c r="D30" s="31" t="n"/>
      <c r="E30" s="31" t="n"/>
      <c r="F30" s="31" t="n"/>
      <c r="G30" s="31" t="n"/>
      <c r="H30" s="32" t="n"/>
    </row>
    <row r="31" ht="25" customHeight="1">
      <c r="A31" s="21" t="inlineStr">
        <is>
          <t>Dhruv Mandavkar | Equity Research, Omega Portfolio Advisors | March 2026</t>
        </is>
      </c>
    </row>
    <row r="32" ht="25" customHeight="1">
      <c r="A32" s="21" t="inlineStr">
        <is>
          <t>dhruvsssm@gmail.com | mandavkar.uk</t>
        </is>
      </c>
    </row>
  </sheetData>
  <mergeCells count="24">
    <mergeCell ref="A30:H30"/>
    <mergeCell ref="A15:H15"/>
    <mergeCell ref="A24:H24"/>
    <mergeCell ref="A11:H11"/>
    <mergeCell ref="A1:H1"/>
    <mergeCell ref="A7:H7"/>
    <mergeCell ref="A25:H25"/>
    <mergeCell ref="A16:H16"/>
    <mergeCell ref="A27:H27"/>
    <mergeCell ref="A12:H12"/>
    <mergeCell ref="A18:H18"/>
    <mergeCell ref="A3:H3"/>
    <mergeCell ref="A21:H21"/>
    <mergeCell ref="A14:H14"/>
    <mergeCell ref="A5:H5"/>
    <mergeCell ref="A32:H32"/>
    <mergeCell ref="A8:H8"/>
    <mergeCell ref="A22:H22"/>
    <mergeCell ref="A17:H17"/>
    <mergeCell ref="A4:H4"/>
    <mergeCell ref="A10:H10"/>
    <mergeCell ref="A28:H28"/>
    <mergeCell ref="A19:H19"/>
    <mergeCell ref="A31:H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2026-03-30T19:34:40Z</dcterms:created>
  <dcterms:modified xmlns:dcterms="http://purl.org/dc/terms/" xmlns:xsi="http://www.w3.org/2001/XMLSchema-instance" xsi:type="dcterms:W3CDTF">2026-03-31T03:46:33Z</dcterms:modified>
</cp:coreProperties>
</file>